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13553451-F6DA-4988-9209-99099EB85314}" xr6:coauthVersionLast="36" xr6:coauthVersionMax="36" xr10:uidLastSave="{00000000-0000-0000-0000-000000000000}"/>
  <bookViews>
    <workbookView xWindow="0" yWindow="0" windowWidth="19200" windowHeight="6810" firstSheet="1" activeTab="10" xr2:uid="{00000000-000D-0000-FFFF-FFFF00000000}"/>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Sheet9" sheetId="11" r:id="rId9"/>
    <sheet name="Sheet10" sheetId="12" r:id="rId10"/>
    <sheet name="Dashboard" sheetId="14" r:id="rId11"/>
    <sheet name="Employees" sheetId="1" r:id="rId12"/>
  </sheets>
  <definedNames>
    <definedName name="Slicer_Department">#N/A</definedName>
    <definedName name="Slicer_Gender">#N/A</definedName>
    <definedName name="Slicer_Hire_Year">#N/A</definedName>
    <definedName name="Slicer_State">#N/A</definedName>
  </definedNames>
  <calcPr calcId="191029"/>
  <pivotCaches>
    <pivotCache cacheId="85"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alcChain>
</file>

<file path=xl/sharedStrings.xml><?xml version="1.0" encoding="utf-8"?>
<sst xmlns="http://schemas.openxmlformats.org/spreadsheetml/2006/main" count="803" uniqueCount="75">
  <si>
    <t>EmployeeID</t>
  </si>
  <si>
    <t>FirstName</t>
  </si>
  <si>
    <t>LastName</t>
  </si>
  <si>
    <t>Gender</t>
  </si>
  <si>
    <t>Age</t>
  </si>
  <si>
    <t>Department</t>
  </si>
  <si>
    <t>JobTitle</t>
  </si>
  <si>
    <t>Salary</t>
  </si>
  <si>
    <t>YearsExperience</t>
  </si>
  <si>
    <t>PerformanceRating</t>
  </si>
  <si>
    <t>State</t>
  </si>
  <si>
    <t>HireDate</t>
  </si>
  <si>
    <t>Ibrahim</t>
  </si>
  <si>
    <t>Ali</t>
  </si>
  <si>
    <t>Male</t>
  </si>
  <si>
    <t>Sales</t>
  </si>
  <si>
    <t>Sales Manager</t>
  </si>
  <si>
    <t>Average</t>
  </si>
  <si>
    <t>Kano</t>
  </si>
  <si>
    <t>Joy</t>
  </si>
  <si>
    <t>Eze</t>
  </si>
  <si>
    <t>Marketing</t>
  </si>
  <si>
    <t>Digital Marketer</t>
  </si>
  <si>
    <t>Rivers</t>
  </si>
  <si>
    <t>Zainab</t>
  </si>
  <si>
    <t>Umar</t>
  </si>
  <si>
    <t>Marketing Officer</t>
  </si>
  <si>
    <t>Excellent</t>
  </si>
  <si>
    <t>Aisha</t>
  </si>
  <si>
    <t>Johnson</t>
  </si>
  <si>
    <t>HR</t>
  </si>
  <si>
    <t>Recruiter</t>
  </si>
  <si>
    <t>Abuja</t>
  </si>
  <si>
    <t>Ojo</t>
  </si>
  <si>
    <t>IT</t>
  </si>
  <si>
    <t>IT Support</t>
  </si>
  <si>
    <t>Good</t>
  </si>
  <si>
    <t>Samuel</t>
  </si>
  <si>
    <t>Female</t>
  </si>
  <si>
    <t>Lagos</t>
  </si>
  <si>
    <t>David</t>
  </si>
  <si>
    <t>Ahmed</t>
  </si>
  <si>
    <t>Grace</t>
  </si>
  <si>
    <t>Bello</t>
  </si>
  <si>
    <t>Finance</t>
  </si>
  <si>
    <t>Financial Analyst</t>
  </si>
  <si>
    <t>Ada</t>
  </si>
  <si>
    <t>Accountant</t>
  </si>
  <si>
    <t>Oyo</t>
  </si>
  <si>
    <t>Aminu</t>
  </si>
  <si>
    <t>Fatima</t>
  </si>
  <si>
    <t>Chinedu</t>
  </si>
  <si>
    <t>Smith</t>
  </si>
  <si>
    <t>Data Analyst</t>
  </si>
  <si>
    <t>HR Officer</t>
  </si>
  <si>
    <t>Mary</t>
  </si>
  <si>
    <t>John</t>
  </si>
  <si>
    <t>Sales Rep</t>
  </si>
  <si>
    <t>Emeka</t>
  </si>
  <si>
    <t>Blessing</t>
  </si>
  <si>
    <t>Musa</t>
  </si>
  <si>
    <t>Okafor</t>
  </si>
  <si>
    <t>Full Name</t>
  </si>
  <si>
    <t xml:space="preserve"> Experience Level</t>
  </si>
  <si>
    <t>Salary Band</t>
  </si>
  <si>
    <t>Hire Year</t>
  </si>
  <si>
    <t>Row Labels</t>
  </si>
  <si>
    <t>Grand Total</t>
  </si>
  <si>
    <t>Count of EmployeeID</t>
  </si>
  <si>
    <t>Average of Salary</t>
  </si>
  <si>
    <t>Column Labels</t>
  </si>
  <si>
    <t>Average of YearsExperience</t>
  </si>
  <si>
    <t>Average of Age</t>
  </si>
  <si>
    <t>HR EMPLOYEE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</si>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</sst>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quot;$&quot;#,##0"/>
  </numFmts>
  <fonts count="2" x14ac:knownFonts="1">
    <font>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6"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0" xfId="0" applyAlignment="1"/>
    <xf numFmtId="0" fontId="1" fillId="2" borderId="0" xfId="0" applyFont="1" applyFill="1" applyAlignment="1">
      <alignment horizontal="center"/>
    </xf>
  </cellXfs>
  <cellStyles count="1">
    <cellStyle name="Normal" xfId="0" builtinId="0"/>
  </cellStyles>
  <dxfs count="8">
    <dxf>
      <numFmt numFmtId="166" formatCode="&quot;$&quot;#,##0"/>
    </dxf>
    <dxf>
      <numFmt numFmtId="166" formatCode="&quot;$&quot;#,##0"/>
    </dxf>
    <dxf>
      <numFmt numFmtId="0" formatCode="General"/>
    </dxf>
    <dxf>
      <numFmt numFmtId="166" formatCode="&quot;$&quot;#,##0"/>
    </dxf>
    <dxf>
      <numFmt numFmtId="0" formatCode="General"/>
    </dxf>
    <dxf>
      <numFmt numFmtId="0" formatCode="General"/>
    </dxf>
    <dxf>
      <numFmt numFmtId="164" formatCode="yyyy\-mm\-dd"/>
    </dxf>
    <dxf>
      <numFmt numFmtId="166"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[HR_Employee_Salary_Dashboard.xlsx]Sheet1!PivotTable26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Sales</c:v>
                </c:pt>
                <c:pt idx="1">
                  <c:v>Marketing</c:v>
                </c:pt>
                <c:pt idx="2">
                  <c:v>Finance</c:v>
                </c:pt>
                <c:pt idx="3">
                  <c:v>HR</c:v>
                </c:pt>
                <c:pt idx="4">
                  <c:v>IT</c:v>
                </c:pt>
              </c:strCache>
            </c:strRef>
          </c:cat>
          <c:val>
            <c:numRef>
              <c:f>Sheet1!$B$4:$B$9</c:f>
              <c:numCache>
                <c:formatCode>General</c:formatCode>
                <c:ptCount val="5"/>
                <c:pt idx="0">
                  <c:v>24</c:v>
                </c:pt>
                <c:pt idx="1">
                  <c:v>22</c:v>
                </c:pt>
                <c:pt idx="2">
                  <c:v>19</c:v>
                </c:pt>
                <c:pt idx="3">
                  <c:v>19</c:v>
                </c:pt>
                <c:pt idx="4">
                  <c:v>16</c:v>
                </c:pt>
              </c:numCache>
            </c:numRef>
          </c:val>
          <c:extLst>
            <c:ext xmlns:c16="http://schemas.microsoft.com/office/drawing/2014/chart" uri="{C3380CC4-5D6E-409C-BE32-E72D297353CC}">
              <c16:uniqueId val="{00000000-B37F-4372-A817-766241370EA3}"/>
            </c:ext>
          </c:extLst>
        </c:ser>
        <c:dLbls>
          <c:showLegendKey val="0"/>
          <c:showVal val="0"/>
          <c:showCatName val="0"/>
          <c:showSerName val="0"/>
          <c:showPercent val="0"/>
          <c:showBubbleSize val="0"/>
        </c:dLbls>
        <c:gapWidth val="219"/>
        <c:overlap val="-27"/>
        <c:axId val="478010143"/>
        <c:axId val="213748191"/>
      </c:barChart>
      <c:catAx>
        <c:axId val="47801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48191"/>
        <c:crosses val="autoZero"/>
        <c:auto val="1"/>
        <c:lblAlgn val="ctr"/>
        <c:lblOffset val="100"/>
        <c:noMultiLvlLbl val="0"/>
      </c:catAx>
      <c:valAx>
        <c:axId val="21374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1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[HR_Employee_Salary_Dashboard.xlsx]Sheet4!PivotTable29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Average Salary by Gender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F2-44B0-AC4D-E0D77C7D2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F2-44B0-AC4D-E0D77C7D2F09}"/>
              </c:ext>
            </c:extLst>
          </c:dPt>
          <c:cat>
            <c:strRef>
              <c:f>Sheet4!$A$4:$A$6</c:f>
              <c:strCache>
                <c:ptCount val="2"/>
                <c:pt idx="0">
                  <c:v>Female</c:v>
                </c:pt>
                <c:pt idx="1">
                  <c:v>Male</c:v>
                </c:pt>
              </c:strCache>
            </c:strRef>
          </c:cat>
          <c:val>
            <c:numRef>
              <c:f>Sheet4!$B$4:$B$6</c:f>
              <c:numCache>
                <c:formatCode>"$"#,##0</c:formatCode>
                <c:ptCount val="2"/>
                <c:pt idx="0">
                  <c:v>534610.26799999981</c:v>
                </c:pt>
                <c:pt idx="1">
                  <c:v>490889.5950769232</c:v>
                </c:pt>
              </c:numCache>
            </c:numRef>
          </c:val>
          <c:extLst>
            <c:ext xmlns:c16="http://schemas.microsoft.com/office/drawing/2014/chart" uri="{C3380CC4-5D6E-409C-BE32-E72D297353CC}">
              <c16:uniqueId val="{00000004-07F2-44B0-AC4D-E0D77C7D2F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[HR_Employee_Salary_Dashboard.xlsx]Sheet2!PivotTable27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Marketing</c:v>
                </c:pt>
                <c:pt idx="1">
                  <c:v>HR</c:v>
                </c:pt>
                <c:pt idx="2">
                  <c:v>Finance</c:v>
                </c:pt>
                <c:pt idx="3">
                  <c:v>Sales</c:v>
                </c:pt>
                <c:pt idx="4">
                  <c:v>IT</c:v>
                </c:pt>
              </c:strCache>
            </c:strRef>
          </c:cat>
          <c:val>
            <c:numRef>
              <c:f>Sheet2!$B$4:$B$9</c:f>
              <c:numCache>
                <c:formatCode>"$"#,##0</c:formatCode>
                <c:ptCount val="5"/>
                <c:pt idx="0">
                  <c:v>546900.96818181814</c:v>
                </c:pt>
                <c:pt idx="1">
                  <c:v>531229.1810526317</c:v>
                </c:pt>
                <c:pt idx="2">
                  <c:v>523306.1984210526</c:v>
                </c:pt>
                <c:pt idx="3">
                  <c:v>476062.97833333345</c:v>
                </c:pt>
                <c:pt idx="4">
                  <c:v>445354.87937500014</c:v>
                </c:pt>
              </c:numCache>
            </c:numRef>
          </c:val>
          <c:extLst>
            <c:ext xmlns:c16="http://schemas.microsoft.com/office/drawing/2014/chart" uri="{C3380CC4-5D6E-409C-BE32-E72D297353CC}">
              <c16:uniqueId val="{00000000-B87C-48B3-84D7-3A7CCA5A5733}"/>
            </c:ext>
          </c:extLst>
        </c:ser>
        <c:dLbls>
          <c:dLblPos val="outEnd"/>
          <c:showLegendKey val="0"/>
          <c:showVal val="0"/>
          <c:showCatName val="0"/>
          <c:showSerName val="0"/>
          <c:showPercent val="0"/>
          <c:showBubbleSize val="0"/>
        </c:dLbls>
        <c:gapWidth val="182"/>
        <c:axId val="2133031055"/>
        <c:axId val="214664719"/>
      </c:barChart>
      <c:catAx>
        <c:axId val="213303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4719"/>
        <c:crosses val="autoZero"/>
        <c:auto val="1"/>
        <c:lblAlgn val="ctr"/>
        <c:lblOffset val="100"/>
        <c:noMultiLvlLbl val="0"/>
      </c:catAx>
      <c:valAx>
        <c:axId val="2146647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3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[HR_Employee_Salary_Dashboard.xlsx]Sheet5!PivotTable30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Lagos</c:v>
                </c:pt>
                <c:pt idx="1">
                  <c:v>Rivers</c:v>
                </c:pt>
                <c:pt idx="2">
                  <c:v>Kano</c:v>
                </c:pt>
                <c:pt idx="3">
                  <c:v>Abuja</c:v>
                </c:pt>
                <c:pt idx="4">
                  <c:v>Oyo</c:v>
                </c:pt>
              </c:strCache>
            </c:strRef>
          </c:cat>
          <c:val>
            <c:numRef>
              <c:f>Sheet5!$B$4:$B$9</c:f>
              <c:numCache>
                <c:formatCode>General</c:formatCode>
                <c:ptCount val="5"/>
                <c:pt idx="0">
                  <c:v>24</c:v>
                </c:pt>
                <c:pt idx="1">
                  <c:v>22</c:v>
                </c:pt>
                <c:pt idx="2">
                  <c:v>21</c:v>
                </c:pt>
                <c:pt idx="3">
                  <c:v>19</c:v>
                </c:pt>
                <c:pt idx="4">
                  <c:v>14</c:v>
                </c:pt>
              </c:numCache>
            </c:numRef>
          </c:val>
          <c:extLst>
            <c:ext xmlns:c16="http://schemas.microsoft.com/office/drawing/2014/chart" uri="{C3380CC4-5D6E-409C-BE32-E72D297353CC}">
              <c16:uniqueId val="{00000000-3B5A-4FC9-9DCF-79EE4DC8CE19}"/>
            </c:ext>
          </c:extLst>
        </c:ser>
        <c:dLbls>
          <c:showLegendKey val="0"/>
          <c:showVal val="0"/>
          <c:showCatName val="0"/>
          <c:showSerName val="0"/>
          <c:showPercent val="0"/>
          <c:showBubbleSize val="0"/>
        </c:dLbls>
        <c:gapWidth val="219"/>
        <c:overlap val="-27"/>
        <c:axId val="1966417375"/>
        <c:axId val="215893487"/>
      </c:barChart>
      <c:catAx>
        <c:axId val="19664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93487"/>
        <c:crosses val="autoZero"/>
        <c:auto val="1"/>
        <c:lblAlgn val="ctr"/>
        <c:lblOffset val="100"/>
        <c:noMultiLvlLbl val="0"/>
      </c:catAx>
      <c:valAx>
        <c:axId val="2158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41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[HR_Employee_Salary_Dashboard.xlsx]Sheet8!PivotTable33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Hire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Sheet8!$A$4:$A$13</c:f>
              <c:strCache>
                <c:ptCount val="9"/>
                <c:pt idx="0">
                  <c:v>2018</c:v>
                </c:pt>
                <c:pt idx="1">
                  <c:v>2019</c:v>
                </c:pt>
                <c:pt idx="2">
                  <c:v>2020</c:v>
                </c:pt>
                <c:pt idx="3">
                  <c:v>2021</c:v>
                </c:pt>
                <c:pt idx="4">
                  <c:v>2022</c:v>
                </c:pt>
                <c:pt idx="5">
                  <c:v>2023</c:v>
                </c:pt>
                <c:pt idx="6">
                  <c:v>2024</c:v>
                </c:pt>
                <c:pt idx="7">
                  <c:v>2025</c:v>
                </c:pt>
                <c:pt idx="8">
                  <c:v>2026</c:v>
                </c:pt>
              </c:strCache>
            </c:strRef>
          </c:cat>
          <c:val>
            <c:numRef>
              <c:f>Sheet8!$B$4:$B$13</c:f>
              <c:numCache>
                <c:formatCode>#,##0</c:formatCode>
                <c:ptCount val="9"/>
                <c:pt idx="0">
                  <c:v>13</c:v>
                </c:pt>
                <c:pt idx="1">
                  <c:v>11</c:v>
                </c:pt>
                <c:pt idx="2">
                  <c:v>17</c:v>
                </c:pt>
                <c:pt idx="3">
                  <c:v>12</c:v>
                </c:pt>
                <c:pt idx="4">
                  <c:v>11</c:v>
                </c:pt>
                <c:pt idx="5">
                  <c:v>7</c:v>
                </c:pt>
                <c:pt idx="6">
                  <c:v>19</c:v>
                </c:pt>
                <c:pt idx="7">
                  <c:v>8</c:v>
                </c:pt>
                <c:pt idx="8">
                  <c:v>2</c:v>
                </c:pt>
              </c:numCache>
            </c:numRef>
          </c:val>
          <c:smooth val="0"/>
          <c:extLst>
            <c:ext xmlns:c16="http://schemas.microsoft.com/office/drawing/2014/chart" uri="{C3380CC4-5D6E-409C-BE32-E72D297353CC}">
              <c16:uniqueId val="{00000000-BFE7-47B7-B3A9-609C6BC51964}"/>
            </c:ext>
          </c:extLst>
        </c:ser>
        <c:dLbls>
          <c:showLegendKey val="0"/>
          <c:showVal val="0"/>
          <c:showCatName val="0"/>
          <c:showSerName val="0"/>
          <c:showPercent val="0"/>
          <c:showBubbleSize val="0"/>
        </c:dLbls>
        <c:smooth val="0"/>
        <c:axId val="1894988351"/>
        <c:axId val="208851231"/>
      </c:lineChart>
      <c:catAx>
        <c:axId val="189498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51231"/>
        <c:crosses val="autoZero"/>
        <c:auto val="1"/>
        <c:lblAlgn val="ctr"/>
        <c:lblOffset val="100"/>
        <c:noMultiLvlLbl val="0"/>
      </c:catAx>
      <c:valAx>
        <c:axId val="20885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8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2</xdr:row>
      <xdr:rowOff>158750</xdr:rowOff>
    </xdr:from>
    <xdr:to>
      <xdr:col>4</xdr:col>
      <xdr:colOff>6350</xdr:colOff>
      <xdr:row>6</xdr:row>
      <xdr:rowOff>6350</xdr:rowOff>
    </xdr:to>
    <xdr:sp macro="" textlink="">
      <xdr:nvSpPr>
        <xdr:cNvPr id="2" name="Rectangle: Rounded Corners 1">
          <a:extLst>
            <a:ext uri="{FF2B5EF4-FFF2-40B4-BE49-F238E27FC236}">
              <a16:creationId xmlns:a16="http://schemas.microsoft.com/office/drawing/2014/main" id="{093ACB97-4085-40BE-BC6A-3076C7D3DA76}"/>
            </a:ext>
          </a:extLst>
        </xdr:cNvPr>
        <xdr:cNvSpPr/>
      </xdr:nvSpPr>
      <xdr:spPr>
        <a:xfrm>
          <a:off x="25400" y="673100"/>
          <a:ext cx="2419350" cy="584200"/>
        </a:xfrm>
        <a:prstGeom prst="round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Employees</a:t>
          </a:r>
        </a:p>
        <a:p>
          <a:pPr algn="ctr"/>
          <a:r>
            <a:rPr lang="en-US" sz="1400" b="1"/>
            <a:t>100</a:t>
          </a:r>
        </a:p>
      </xdr:txBody>
    </xdr:sp>
    <xdr:clientData/>
  </xdr:twoCellAnchor>
  <xdr:twoCellAnchor>
    <xdr:from>
      <xdr:col>5</xdr:col>
      <xdr:colOff>12700</xdr:colOff>
      <xdr:row>2</xdr:row>
      <xdr:rowOff>171450</xdr:rowOff>
    </xdr:from>
    <xdr:to>
      <xdr:col>8</xdr:col>
      <xdr:colOff>603250</xdr:colOff>
      <xdr:row>6</xdr:row>
      <xdr:rowOff>19050</xdr:rowOff>
    </xdr:to>
    <xdr:sp macro="" textlink="">
      <xdr:nvSpPr>
        <xdr:cNvPr id="3" name="Rectangle: Rounded Corners 2">
          <a:extLst>
            <a:ext uri="{FF2B5EF4-FFF2-40B4-BE49-F238E27FC236}">
              <a16:creationId xmlns:a16="http://schemas.microsoft.com/office/drawing/2014/main" id="{AD5F9F5F-3147-404D-9270-5256FBD6D09B}"/>
            </a:ext>
          </a:extLst>
        </xdr:cNvPr>
        <xdr:cNvSpPr/>
      </xdr:nvSpPr>
      <xdr:spPr>
        <a:xfrm>
          <a:off x="3060700" y="685800"/>
          <a:ext cx="2419350" cy="584200"/>
        </a:xfrm>
        <a:prstGeom prst="round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a:t>
          </a:r>
          <a:r>
            <a:rPr lang="en-US" sz="1400" b="1" baseline="0"/>
            <a:t> Salary</a:t>
          </a:r>
          <a:endParaRPr lang="en-US" sz="1400" b="1"/>
        </a:p>
        <a:p>
          <a:pPr algn="ctr"/>
          <a:r>
            <a:rPr lang="en-US" sz="1400" b="1"/>
            <a:t>506,192</a:t>
          </a:r>
        </a:p>
      </xdr:txBody>
    </xdr:sp>
    <xdr:clientData/>
  </xdr:twoCellAnchor>
  <xdr:twoCellAnchor>
    <xdr:from>
      <xdr:col>10</xdr:col>
      <xdr:colOff>12700</xdr:colOff>
      <xdr:row>2</xdr:row>
      <xdr:rowOff>146050</xdr:rowOff>
    </xdr:from>
    <xdr:to>
      <xdr:col>13</xdr:col>
      <xdr:colOff>603250</xdr:colOff>
      <xdr:row>5</xdr:row>
      <xdr:rowOff>177800</xdr:rowOff>
    </xdr:to>
    <xdr:sp macro="" textlink="">
      <xdr:nvSpPr>
        <xdr:cNvPr id="4" name="Rectangle: Rounded Corners 3">
          <a:extLst>
            <a:ext uri="{FF2B5EF4-FFF2-40B4-BE49-F238E27FC236}">
              <a16:creationId xmlns:a16="http://schemas.microsoft.com/office/drawing/2014/main" id="{28B0FB24-F7CA-4A42-84D6-6C36736F9CF7}"/>
            </a:ext>
          </a:extLst>
        </xdr:cNvPr>
        <xdr:cNvSpPr/>
      </xdr:nvSpPr>
      <xdr:spPr>
        <a:xfrm>
          <a:off x="6108700" y="660400"/>
          <a:ext cx="2419350" cy="584200"/>
        </a:xfrm>
        <a:prstGeom prst="round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Age</a:t>
          </a:r>
        </a:p>
        <a:p>
          <a:pPr algn="ctr"/>
          <a:r>
            <a:rPr lang="en-US" sz="1400" b="1"/>
            <a:t>39</a:t>
          </a:r>
        </a:p>
      </xdr:txBody>
    </xdr:sp>
    <xdr:clientData/>
  </xdr:twoCellAnchor>
  <xdr:twoCellAnchor>
    <xdr:from>
      <xdr:col>14</xdr:col>
      <xdr:colOff>603250</xdr:colOff>
      <xdr:row>2</xdr:row>
      <xdr:rowOff>152400</xdr:rowOff>
    </xdr:from>
    <xdr:to>
      <xdr:col>18</xdr:col>
      <xdr:colOff>584200</xdr:colOff>
      <xdr:row>6</xdr:row>
      <xdr:rowOff>0</xdr:rowOff>
    </xdr:to>
    <xdr:sp macro="" textlink="">
      <xdr:nvSpPr>
        <xdr:cNvPr id="5" name="Rectangle: Rounded Corners 4">
          <a:extLst>
            <a:ext uri="{FF2B5EF4-FFF2-40B4-BE49-F238E27FC236}">
              <a16:creationId xmlns:a16="http://schemas.microsoft.com/office/drawing/2014/main" id="{8F17DBF7-5000-4874-BBFE-D9EE362692E9}"/>
            </a:ext>
          </a:extLst>
        </xdr:cNvPr>
        <xdr:cNvSpPr/>
      </xdr:nvSpPr>
      <xdr:spPr>
        <a:xfrm>
          <a:off x="9137650" y="666750"/>
          <a:ext cx="2419350" cy="584200"/>
        </a:xfrm>
        <a:prstGeom prst="round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a:t>
          </a:r>
          <a:r>
            <a:rPr lang="en-US" sz="1400" b="1" baseline="0"/>
            <a:t> Years of Experience</a:t>
          </a:r>
          <a:endParaRPr lang="en-US" sz="1400" b="1"/>
        </a:p>
        <a:p>
          <a:pPr algn="ctr"/>
          <a:r>
            <a:rPr lang="en-US" sz="1400" b="1"/>
            <a:t>10 </a:t>
          </a:r>
        </a:p>
      </xdr:txBody>
    </xdr:sp>
    <xdr:clientData/>
  </xdr:twoCellAnchor>
  <xdr:twoCellAnchor>
    <xdr:from>
      <xdr:col>0</xdr:col>
      <xdr:colOff>0</xdr:colOff>
      <xdr:row>7</xdr:row>
      <xdr:rowOff>6350</xdr:rowOff>
    </xdr:from>
    <xdr:to>
      <xdr:col>8</xdr:col>
      <xdr:colOff>146050</xdr:colOff>
      <xdr:row>18</xdr:row>
      <xdr:rowOff>177800</xdr:rowOff>
    </xdr:to>
    <xdr:graphicFrame macro="">
      <xdr:nvGraphicFramePr>
        <xdr:cNvPr id="7" name="Chart 6">
          <a:extLst>
            <a:ext uri="{FF2B5EF4-FFF2-40B4-BE49-F238E27FC236}">
              <a16:creationId xmlns:a16="http://schemas.microsoft.com/office/drawing/2014/main" id="{0DDFE91B-F234-4891-A71C-FED3AD7A4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xdr:colOff>
      <xdr:row>7</xdr:row>
      <xdr:rowOff>0</xdr:rowOff>
    </xdr:from>
    <xdr:to>
      <xdr:col>18</xdr:col>
      <xdr:colOff>149606</xdr:colOff>
      <xdr:row>18</xdr:row>
      <xdr:rowOff>168910</xdr:rowOff>
    </xdr:to>
    <xdr:graphicFrame macro="">
      <xdr:nvGraphicFramePr>
        <xdr:cNvPr id="8" name="Chart 7">
          <a:extLst>
            <a:ext uri="{FF2B5EF4-FFF2-40B4-BE49-F238E27FC236}">
              <a16:creationId xmlns:a16="http://schemas.microsoft.com/office/drawing/2014/main" id="{4FDC8659-E066-4ABD-BE8D-D6B9CBCE8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8</xdr:col>
      <xdr:colOff>143256</xdr:colOff>
      <xdr:row>31</xdr:row>
      <xdr:rowOff>168910</xdr:rowOff>
    </xdr:to>
    <xdr:graphicFrame macro="">
      <xdr:nvGraphicFramePr>
        <xdr:cNvPr id="9" name="Chart 8">
          <a:extLst>
            <a:ext uri="{FF2B5EF4-FFF2-40B4-BE49-F238E27FC236}">
              <a16:creationId xmlns:a16="http://schemas.microsoft.com/office/drawing/2014/main" id="{8556100E-B4F2-49A4-89DD-81261C78F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6350</xdr:colOff>
      <xdr:row>20</xdr:row>
      <xdr:rowOff>6350</xdr:rowOff>
    </xdr:from>
    <xdr:to>
      <xdr:col>18</xdr:col>
      <xdr:colOff>149606</xdr:colOff>
      <xdr:row>31</xdr:row>
      <xdr:rowOff>177800</xdr:rowOff>
    </xdr:to>
    <xdr:graphicFrame macro="">
      <xdr:nvGraphicFramePr>
        <xdr:cNvPr id="10" name="Chart 9">
          <a:extLst>
            <a:ext uri="{FF2B5EF4-FFF2-40B4-BE49-F238E27FC236}">
              <a16:creationId xmlns:a16="http://schemas.microsoft.com/office/drawing/2014/main" id="{965177C0-F4A3-4076-A3A8-4ED819362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19050</xdr:rowOff>
    </xdr:from>
    <xdr:to>
      <xdr:col>18</xdr:col>
      <xdr:colOff>184150</xdr:colOff>
      <xdr:row>51</xdr:row>
      <xdr:rowOff>25400</xdr:rowOff>
    </xdr:to>
    <xdr:graphicFrame macro="">
      <xdr:nvGraphicFramePr>
        <xdr:cNvPr id="11" name="Chart 10">
          <a:extLst>
            <a:ext uri="{FF2B5EF4-FFF2-40B4-BE49-F238E27FC236}">
              <a16:creationId xmlns:a16="http://schemas.microsoft.com/office/drawing/2014/main" id="{9041C0A8-5DE1-4B2D-BA79-99547E1C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52</xdr:row>
      <xdr:rowOff>12701</xdr:rowOff>
    </xdr:from>
    <xdr:to>
      <xdr:col>3</xdr:col>
      <xdr:colOff>0</xdr:colOff>
      <xdr:row>64</xdr:row>
      <xdr:rowOff>19050</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24AC9E46-77C5-4340-AAB4-590AFA1992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9734551"/>
              <a:ext cx="1828800" cy="221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xdr:colOff>
      <xdr:row>52</xdr:row>
      <xdr:rowOff>6351</xdr:rowOff>
    </xdr:from>
    <xdr:to>
      <xdr:col>8</xdr:col>
      <xdr:colOff>6350</xdr:colOff>
      <xdr:row>64</xdr:row>
      <xdr:rowOff>31750</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5C856DC5-274F-4F2D-A78E-83931259D3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54350" y="9728201"/>
              <a:ext cx="1828800" cy="223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51</xdr:row>
      <xdr:rowOff>165100</xdr:rowOff>
    </xdr:from>
    <xdr:to>
      <xdr:col>12</xdr:col>
      <xdr:colOff>607314</xdr:colOff>
      <xdr:row>64</xdr:row>
      <xdr:rowOff>2286</xdr:rowOff>
    </xdr:to>
    <mc:AlternateContent xmlns:mc="http://schemas.openxmlformats.org/markup-compatibility/2006">
      <mc:Choice xmlns:a14="http://schemas.microsoft.com/office/drawing/2010/main" Requires="a14">
        <xdr:graphicFrame macro="">
          <xdr:nvGraphicFramePr>
            <xdr:cNvPr id="14" name="State">
              <a:extLst>
                <a:ext uri="{FF2B5EF4-FFF2-40B4-BE49-F238E27FC236}">
                  <a16:creationId xmlns:a16="http://schemas.microsoft.com/office/drawing/2014/main" id="{2B79C58B-A975-4A9B-B328-12272771E57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096000" y="9702800"/>
              <a:ext cx="1826514" cy="2231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52</xdr:row>
      <xdr:rowOff>1</xdr:rowOff>
    </xdr:from>
    <xdr:to>
      <xdr:col>18</xdr:col>
      <xdr:colOff>207264</xdr:colOff>
      <xdr:row>64</xdr:row>
      <xdr:rowOff>25400</xdr:rowOff>
    </xdr:to>
    <mc:AlternateContent xmlns:mc="http://schemas.openxmlformats.org/markup-compatibility/2006">
      <mc:Choice xmlns:a14="http://schemas.microsoft.com/office/drawing/2010/main" Requires="a14">
        <xdr:graphicFrame macro="">
          <xdr:nvGraphicFramePr>
            <xdr:cNvPr id="15" name="Hire Year">
              <a:extLst>
                <a:ext uri="{FF2B5EF4-FFF2-40B4-BE49-F238E27FC236}">
                  <a16:creationId xmlns:a16="http://schemas.microsoft.com/office/drawing/2014/main" id="{F72E3B7D-6D12-43E6-AF70-CAF01364F455}"/>
                </a:ext>
              </a:extLst>
            </xdr:cNvPr>
            <xdr:cNvGraphicFramePr/>
          </xdr:nvGraphicFramePr>
          <xdr:xfrm>
            <a:off x="0" y="0"/>
            <a:ext cx="0" cy="0"/>
          </xdr:xfrm>
          <a:graphic>
            <a:graphicData uri="http://schemas.microsoft.com/office/drawing/2010/slicer">
              <sle:slicer xmlns:sle="http://schemas.microsoft.com/office/drawing/2010/slicer" name="Hire Year"/>
            </a:graphicData>
          </a:graphic>
        </xdr:graphicFrame>
      </mc:Choice>
      <mc:Fallback>
        <xdr:sp macro="" textlink="">
          <xdr:nvSpPr>
            <xdr:cNvPr id="0" name=""/>
            <xdr:cNvSpPr>
              <a:spLocks noTextEdit="1"/>
            </xdr:cNvSpPr>
          </xdr:nvSpPr>
          <xdr:spPr>
            <a:xfrm>
              <a:off x="9144000" y="9721851"/>
              <a:ext cx="2036064" cy="223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642681712961" createdVersion="6" refreshedVersion="6" minRefreshableVersion="3" recordCount="100" xr:uid="{B91C6AE4-246D-4755-8862-489B66590295}">
  <cacheSource type="worksheet">
    <worksheetSource name="Table2"/>
  </cacheSource>
  <cacheFields count="16">
    <cacheField name="EmployeeID" numFmtId="0">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cacheField>
    <cacheField name="FirstName" numFmtId="0">
      <sharedItems/>
    </cacheField>
    <cacheField name="LastName" numFmtId="0">
      <sharedItems/>
    </cacheField>
    <cacheField name="Full Name" numFmtId="0">
      <sharedItems/>
    </cacheField>
    <cacheField name="Gender" numFmtId="0">
      <sharedItems count="2">
        <s v="Male"/>
        <s v="Female"/>
      </sharedItems>
    </cacheField>
    <cacheField name="Age" numFmtId="0">
      <sharedItems containsSemiMixedTypes="0" containsString="0" containsNumber="1" containsInteger="1" minValue="22" maxValue="58"/>
    </cacheField>
    <cacheField name="Department" numFmtId="0">
      <sharedItems count="5">
        <s v="Sales"/>
        <s v="Marketing"/>
        <s v="HR"/>
        <s v="IT"/>
        <s v="Finance"/>
      </sharedItems>
    </cacheField>
    <cacheField name="JobTitle" numFmtId="0">
      <sharedItems count="10">
        <s v="Sales Manager"/>
        <s v="Digital Marketer"/>
        <s v="Marketing Officer"/>
        <s v="Recruiter"/>
        <s v="IT Support"/>
        <s v="Financial Analyst"/>
        <s v="Accountant"/>
        <s v="Data Analyst"/>
        <s v="HR Officer"/>
        <s v="Sales Rep"/>
      </sharedItems>
    </cacheField>
    <cacheField name="Salary" numFmtId="166">
      <sharedItems containsSemiMixedTypes="0" containsString="0" containsNumber="1" minValue="131036.91" maxValue="845134.91" count="100">
        <n v="582360.06000000006"/>
        <n v="201543.84"/>
        <n v="455979.82"/>
        <n v="668376.42000000004"/>
        <n v="159402.65"/>
        <n v="187878.55"/>
        <n v="649945.54"/>
        <n v="221438.64"/>
        <n v="133882.19"/>
        <n v="259387.1"/>
        <n v="744073.02"/>
        <n v="295859.46000000002"/>
        <n v="730620.99"/>
        <n v="566040.74"/>
        <n v="611677.02"/>
        <n v="251655.69"/>
        <n v="483660.3"/>
        <n v="202636.65"/>
        <n v="551076.03"/>
        <n v="692586.02"/>
        <n v="724458.03"/>
        <n v="694340.54"/>
        <n v="695045.79"/>
        <n v="758720.55"/>
        <n v="338207.34"/>
        <n v="555380.73"/>
        <n v="752595.66"/>
        <n v="664902.98"/>
        <n v="131036.91"/>
        <n v="741538.4"/>
        <n v="373356.34"/>
        <n v="432707.72"/>
        <n v="616421.31000000006"/>
        <n v="819643.78"/>
        <n v="530747.05000000005"/>
        <n v="615188.16"/>
        <n v="449903.37"/>
        <n v="471782.16"/>
        <n v="830542.88"/>
        <n v="207026.63"/>
        <n v="263299.39"/>
        <n v="175147.57"/>
        <n v="407522.53"/>
        <n v="760198.45"/>
        <n v="273424.65000000002"/>
        <n v="483876.37"/>
        <n v="482868.72"/>
        <n v="714732.94"/>
        <n v="380091.31"/>
        <n v="845134.91"/>
        <n v="424854.98"/>
        <n v="804444.75"/>
        <n v="843748.72"/>
        <n v="561474.21"/>
        <n v="844182.36"/>
        <n v="179978.7"/>
        <n v="459558.71"/>
        <n v="744731.71"/>
        <n v="567527.39"/>
        <n v="277703.86"/>
        <n v="394946.04"/>
        <n v="720422.40000000002"/>
        <n v="455746.1"/>
        <n v="454538.94"/>
        <n v="830778.59"/>
        <n v="521251.65"/>
        <n v="509335.17"/>
        <n v="232948.73"/>
        <n v="580545.09"/>
        <n v="352176.75"/>
        <n v="319654.15000000002"/>
        <n v="186470.96"/>
        <n v="771886.48"/>
        <n v="327898.19"/>
        <n v="564755.80000000005"/>
        <n v="400503.45"/>
        <n v="605014.56000000006"/>
        <n v="800293.36"/>
        <n v="432799.65"/>
        <n v="405800.44"/>
        <n v="614234.14"/>
        <n v="829715.73"/>
        <n v="741361.3"/>
        <n v="251839.37"/>
        <n v="630791.35"/>
        <n v="301946.92"/>
        <n v="591617.18999999994"/>
        <n v="511544.89"/>
        <n v="819006.91"/>
        <n v="655621.41"/>
        <n v="315734.08"/>
        <n v="506373.13"/>
        <n v="444139.31"/>
        <n v="455954.89"/>
        <n v="212848.22"/>
        <n v="456674.5"/>
        <n v="803509.67"/>
        <n v="222979.75"/>
        <n v="441523.93"/>
        <n v="395870.58"/>
      </sharedItems>
    </cacheField>
    <cacheField name="Salary Band" numFmtId="166">
      <sharedItems/>
    </cacheField>
    <cacheField name="YearsExperience" numFmtId="0">
      <sharedItems containsSemiMixedTypes="0" containsString="0" containsNumber="1" containsInteger="1" minValue="1" maxValue="20"/>
    </cacheField>
    <cacheField name=" Experience Level" numFmtId="0">
      <sharedItems/>
    </cacheField>
    <cacheField name="PerformanceRating" numFmtId="0">
      <sharedItems count="3">
        <s v="Average"/>
        <s v="Excellent"/>
        <s v="Good"/>
      </sharedItems>
    </cacheField>
    <cacheField name="State" numFmtId="0">
      <sharedItems count="5">
        <s v="Kano"/>
        <s v="Rivers"/>
        <s v="Abuja"/>
        <s v="Lagos"/>
        <s v="Oyo"/>
      </sharedItems>
    </cacheField>
    <cacheField name="HireDate" numFmtId="164">
      <sharedItems containsSemiMixedTypes="0" containsNonDate="0" containsDate="1" containsString="0" minDate="2018-01-20T00:00:00" maxDate="2026-02-02T00:00:00"/>
    </cacheField>
    <cacheField name="Hire Year" numFmtId="0">
      <sharedItems containsSemiMixedTypes="0" containsString="0" containsNumber="1" containsInteger="1" minValue="2018" maxValue="2026" count="9">
        <n v="2025"/>
        <n v="2018"/>
        <n v="2024"/>
        <n v="2023"/>
        <n v="2020"/>
        <n v="2021"/>
        <n v="2019"/>
        <n v="2022"/>
        <n v="2026"/>
      </sharedItems>
    </cacheField>
  </cacheFields>
  <extLst>
    <ext xmlns:x14="http://schemas.microsoft.com/office/spreadsheetml/2009/9/main" uri="{725AE2AE-9491-48be-B2B4-4EB974FC3084}">
      <x14:pivotCacheDefinition pivotCacheId="261875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Ibrahim"/>
    <s v="Ali"/>
    <s v="Ibrahim Ali"/>
    <x v="0"/>
    <n v="37"/>
    <x v="0"/>
    <x v="0"/>
    <x v="0"/>
    <s v="High"/>
    <n v="11"/>
    <s v="Expert"/>
    <x v="0"/>
    <x v="0"/>
    <d v="2025-02-06T00:00:00"/>
    <x v="0"/>
  </r>
  <r>
    <x v="1"/>
    <s v="Joy"/>
    <s v="Eze"/>
    <s v="Joy Eze"/>
    <x v="0"/>
    <n v="47"/>
    <x v="1"/>
    <x v="1"/>
    <x v="1"/>
    <s v="High"/>
    <n v="2"/>
    <s v="Beginner"/>
    <x v="0"/>
    <x v="1"/>
    <d v="2018-08-12T00:00:00"/>
    <x v="1"/>
  </r>
  <r>
    <x v="2"/>
    <s v="Zainab"/>
    <s v="Umar"/>
    <s v="Zainab Umar"/>
    <x v="0"/>
    <n v="36"/>
    <x v="1"/>
    <x v="2"/>
    <x v="2"/>
    <s v="High"/>
    <n v="14"/>
    <s v="Expert"/>
    <x v="1"/>
    <x v="1"/>
    <d v="2024-11-27T00:00:00"/>
    <x v="2"/>
  </r>
  <r>
    <x v="3"/>
    <s v="Aisha"/>
    <s v="Johnson"/>
    <s v="Aisha Johnson"/>
    <x v="0"/>
    <n v="33"/>
    <x v="2"/>
    <x v="3"/>
    <x v="3"/>
    <s v="High"/>
    <n v="7"/>
    <s v="Experienced"/>
    <x v="1"/>
    <x v="2"/>
    <d v="2023-06-02T00:00:00"/>
    <x v="3"/>
  </r>
  <r>
    <x v="4"/>
    <s v="Aisha"/>
    <s v="Ojo"/>
    <s v="Aisha Ojo"/>
    <x v="0"/>
    <n v="49"/>
    <x v="3"/>
    <x v="4"/>
    <x v="4"/>
    <s v="Medium"/>
    <n v="1"/>
    <s v="Beginner"/>
    <x v="2"/>
    <x v="0"/>
    <d v="2020-05-20T00:00:00"/>
    <x v="4"/>
  </r>
  <r>
    <x v="5"/>
    <s v="Samuel"/>
    <s v="Ojo"/>
    <s v="Samuel Ojo"/>
    <x v="1"/>
    <n v="44"/>
    <x v="0"/>
    <x v="0"/>
    <x v="5"/>
    <s v="Medium"/>
    <n v="6"/>
    <s v="Experienced"/>
    <x v="1"/>
    <x v="3"/>
    <d v="2021-07-16T00:00:00"/>
    <x v="5"/>
  </r>
  <r>
    <x v="6"/>
    <s v="David"/>
    <s v="Ahmed"/>
    <s v="David Ahmed"/>
    <x v="1"/>
    <n v="50"/>
    <x v="0"/>
    <x v="0"/>
    <x v="6"/>
    <s v="High"/>
    <n v="15"/>
    <s v="Expert"/>
    <x v="0"/>
    <x v="2"/>
    <d v="2024-08-29T00:00:00"/>
    <x v="2"/>
  </r>
  <r>
    <x v="7"/>
    <s v="Ibrahim"/>
    <s v="Johnson"/>
    <s v="Ibrahim Johnson"/>
    <x v="0"/>
    <n v="46"/>
    <x v="0"/>
    <x v="0"/>
    <x v="7"/>
    <s v="High"/>
    <n v="16"/>
    <s v="Expert"/>
    <x v="1"/>
    <x v="0"/>
    <d v="2020-07-28T00:00:00"/>
    <x v="4"/>
  </r>
  <r>
    <x v="8"/>
    <s v="Grace"/>
    <s v="Bello"/>
    <s v="Grace Bello"/>
    <x v="0"/>
    <n v="26"/>
    <x v="4"/>
    <x v="5"/>
    <x v="8"/>
    <s v="Low"/>
    <n v="8"/>
    <s v="Experienced"/>
    <x v="1"/>
    <x v="0"/>
    <d v="2019-04-27T00:00:00"/>
    <x v="6"/>
  </r>
  <r>
    <x v="9"/>
    <s v="Ada"/>
    <s v="Ali"/>
    <s v="Ada Ali"/>
    <x v="1"/>
    <n v="44"/>
    <x v="4"/>
    <x v="6"/>
    <x v="9"/>
    <s v="High"/>
    <n v="6"/>
    <s v="Experienced"/>
    <x v="2"/>
    <x v="0"/>
    <d v="2022-02-01T00:00:00"/>
    <x v="7"/>
  </r>
  <r>
    <x v="10"/>
    <s v="Grace"/>
    <s v="Eze"/>
    <s v="Grace Eze"/>
    <x v="0"/>
    <n v="34"/>
    <x v="4"/>
    <x v="5"/>
    <x v="10"/>
    <s v="High"/>
    <n v="18"/>
    <s v="Expert"/>
    <x v="1"/>
    <x v="4"/>
    <d v="2020-05-26T00:00:00"/>
    <x v="4"/>
  </r>
  <r>
    <x v="11"/>
    <s v="Aisha"/>
    <s v="Aminu"/>
    <s v="Aisha Aminu"/>
    <x v="0"/>
    <n v="28"/>
    <x v="4"/>
    <x v="5"/>
    <x v="11"/>
    <s v="High"/>
    <n v="1"/>
    <s v="Beginner"/>
    <x v="0"/>
    <x v="2"/>
    <d v="2024-03-04T00:00:00"/>
    <x v="2"/>
  </r>
  <r>
    <x v="12"/>
    <s v="Fatima"/>
    <s v="Ahmed"/>
    <s v="Fatima Ahmed"/>
    <x v="0"/>
    <n v="58"/>
    <x v="0"/>
    <x v="0"/>
    <x v="12"/>
    <s v="High"/>
    <n v="2"/>
    <s v="Beginner"/>
    <x v="0"/>
    <x v="3"/>
    <d v="2020-11-09T00:00:00"/>
    <x v="4"/>
  </r>
  <r>
    <x v="13"/>
    <s v="Ibrahim"/>
    <s v="Eze"/>
    <s v="Ibrahim Eze"/>
    <x v="1"/>
    <n v="27"/>
    <x v="4"/>
    <x v="6"/>
    <x v="13"/>
    <s v="High"/>
    <n v="7"/>
    <s v="Experienced"/>
    <x v="0"/>
    <x v="1"/>
    <d v="2026-01-19T00:00:00"/>
    <x v="8"/>
  </r>
  <r>
    <x v="14"/>
    <s v="Chinedu"/>
    <s v="Umar"/>
    <s v="Chinedu Umar"/>
    <x v="0"/>
    <n v="33"/>
    <x v="2"/>
    <x v="3"/>
    <x v="14"/>
    <s v="High"/>
    <n v="3"/>
    <s v="Intermediate"/>
    <x v="0"/>
    <x v="3"/>
    <d v="2021-12-06T00:00:00"/>
    <x v="5"/>
  </r>
  <r>
    <x v="15"/>
    <s v="Aisha"/>
    <s v="Ahmed"/>
    <s v="Aisha Ahmed"/>
    <x v="1"/>
    <n v="48"/>
    <x v="1"/>
    <x v="1"/>
    <x v="15"/>
    <s v="High"/>
    <n v="5"/>
    <s v="Intermediate"/>
    <x v="0"/>
    <x v="0"/>
    <d v="2023-10-16T00:00:00"/>
    <x v="3"/>
  </r>
  <r>
    <x v="16"/>
    <s v="Ibrahim"/>
    <s v="Smith"/>
    <s v="Ibrahim Smith"/>
    <x v="0"/>
    <n v="56"/>
    <x v="3"/>
    <x v="7"/>
    <x v="16"/>
    <s v="High"/>
    <n v="12"/>
    <s v="Expert"/>
    <x v="1"/>
    <x v="0"/>
    <d v="2025-04-15T00:00:00"/>
    <x v="0"/>
  </r>
  <r>
    <x v="17"/>
    <s v="Zainab"/>
    <s v="Ahmed"/>
    <s v="Zainab Ahmed"/>
    <x v="0"/>
    <n v="45"/>
    <x v="4"/>
    <x v="6"/>
    <x v="17"/>
    <s v="High"/>
    <n v="17"/>
    <s v="Expert"/>
    <x v="1"/>
    <x v="0"/>
    <d v="2024-07-27T00:00:00"/>
    <x v="2"/>
  </r>
  <r>
    <x v="18"/>
    <s v="Joy"/>
    <s v="Bello"/>
    <s v="Joy Bello"/>
    <x v="0"/>
    <n v="49"/>
    <x v="1"/>
    <x v="2"/>
    <x v="18"/>
    <s v="High"/>
    <n v="7"/>
    <s v="Experienced"/>
    <x v="1"/>
    <x v="3"/>
    <d v="2020-11-10T00:00:00"/>
    <x v="4"/>
  </r>
  <r>
    <x v="19"/>
    <s v="Fatima"/>
    <s v="Ojo"/>
    <s v="Fatima Ojo"/>
    <x v="1"/>
    <n v="34"/>
    <x v="2"/>
    <x v="8"/>
    <x v="19"/>
    <s v="High"/>
    <n v="17"/>
    <s v="Expert"/>
    <x v="0"/>
    <x v="0"/>
    <d v="2018-09-19T00:00:00"/>
    <x v="1"/>
  </r>
  <r>
    <x v="20"/>
    <s v="Chinedu"/>
    <s v="Aminu"/>
    <s v="Chinedu Aminu"/>
    <x v="0"/>
    <n v="25"/>
    <x v="0"/>
    <x v="0"/>
    <x v="20"/>
    <s v="High"/>
    <n v="19"/>
    <s v="Expert"/>
    <x v="2"/>
    <x v="3"/>
    <d v="2018-07-04T00:00:00"/>
    <x v="1"/>
  </r>
  <r>
    <x v="21"/>
    <s v="Mary"/>
    <s v="Eze"/>
    <s v="Mary Eze"/>
    <x v="0"/>
    <n v="55"/>
    <x v="2"/>
    <x v="8"/>
    <x v="21"/>
    <s v="High"/>
    <n v="5"/>
    <s v="Intermediate"/>
    <x v="1"/>
    <x v="4"/>
    <d v="2020-06-02T00:00:00"/>
    <x v="4"/>
  </r>
  <r>
    <x v="22"/>
    <s v="Ibrahim"/>
    <s v="Ali"/>
    <s v="Ibrahim Ali"/>
    <x v="1"/>
    <n v="35"/>
    <x v="1"/>
    <x v="1"/>
    <x v="22"/>
    <s v="High"/>
    <n v="4"/>
    <s v="Intermediate"/>
    <x v="0"/>
    <x v="3"/>
    <d v="2022-08-13T00:00:00"/>
    <x v="7"/>
  </r>
  <r>
    <x v="23"/>
    <s v="Ibrahim"/>
    <s v="Ahmed"/>
    <s v="Ibrahim Ahmed"/>
    <x v="0"/>
    <n v="51"/>
    <x v="3"/>
    <x v="4"/>
    <x v="23"/>
    <s v="High"/>
    <n v="9"/>
    <s v="Experienced"/>
    <x v="0"/>
    <x v="3"/>
    <d v="2018-04-18T00:00:00"/>
    <x v="1"/>
  </r>
  <r>
    <x v="24"/>
    <s v="John"/>
    <s v="Bello"/>
    <s v="John Bello"/>
    <x v="0"/>
    <n v="26"/>
    <x v="0"/>
    <x v="0"/>
    <x v="24"/>
    <s v="High"/>
    <n v="8"/>
    <s v="Experienced"/>
    <x v="0"/>
    <x v="1"/>
    <d v="2020-06-23T00:00:00"/>
    <x v="4"/>
  </r>
  <r>
    <x v="25"/>
    <s v="Mary"/>
    <s v="Johnson"/>
    <s v="Mary Johnson"/>
    <x v="1"/>
    <n v="51"/>
    <x v="0"/>
    <x v="9"/>
    <x v="25"/>
    <s v="High"/>
    <n v="13"/>
    <s v="Expert"/>
    <x v="0"/>
    <x v="0"/>
    <d v="2019-01-01T00:00:00"/>
    <x v="6"/>
  </r>
  <r>
    <x v="26"/>
    <s v="Chinedu"/>
    <s v="Ali"/>
    <s v="Chinedu Ali"/>
    <x v="1"/>
    <n v="57"/>
    <x v="2"/>
    <x v="3"/>
    <x v="26"/>
    <s v="High"/>
    <n v="18"/>
    <s v="Expert"/>
    <x v="2"/>
    <x v="4"/>
    <d v="2020-11-01T00:00:00"/>
    <x v="4"/>
  </r>
  <r>
    <x v="27"/>
    <s v="Chinedu"/>
    <s v="Johnson"/>
    <s v="Chinedu Johnson"/>
    <x v="0"/>
    <n v="43"/>
    <x v="4"/>
    <x v="6"/>
    <x v="27"/>
    <s v="High"/>
    <n v="10"/>
    <s v="Experienced"/>
    <x v="0"/>
    <x v="4"/>
    <d v="2024-04-24T00:00:00"/>
    <x v="2"/>
  </r>
  <r>
    <x v="28"/>
    <s v="Chinedu"/>
    <s v="Smith"/>
    <s v="Chinedu Smith"/>
    <x v="0"/>
    <n v="33"/>
    <x v="2"/>
    <x v="3"/>
    <x v="28"/>
    <s v="Low"/>
    <n v="2"/>
    <s v="Beginner"/>
    <x v="0"/>
    <x v="3"/>
    <d v="2025-02-07T00:00:00"/>
    <x v="0"/>
  </r>
  <r>
    <x v="29"/>
    <s v="Chinedu"/>
    <s v="Umar"/>
    <s v="Chinedu Umar"/>
    <x v="0"/>
    <n v="43"/>
    <x v="4"/>
    <x v="6"/>
    <x v="29"/>
    <s v="High"/>
    <n v="8"/>
    <s v="Experienced"/>
    <x v="1"/>
    <x v="3"/>
    <d v="2021-10-12T00:00:00"/>
    <x v="5"/>
  </r>
  <r>
    <x v="30"/>
    <s v="Samuel"/>
    <s v="Ahmed"/>
    <s v="Samuel Ahmed"/>
    <x v="0"/>
    <n v="35"/>
    <x v="3"/>
    <x v="4"/>
    <x v="30"/>
    <s v="High"/>
    <n v="7"/>
    <s v="Experienced"/>
    <x v="2"/>
    <x v="4"/>
    <d v="2019-06-22T00:00:00"/>
    <x v="6"/>
  </r>
  <r>
    <x v="31"/>
    <s v="Samuel"/>
    <s v="Aminu"/>
    <s v="Samuel Aminu"/>
    <x v="0"/>
    <n v="30"/>
    <x v="1"/>
    <x v="1"/>
    <x v="31"/>
    <s v="High"/>
    <n v="10"/>
    <s v="Experienced"/>
    <x v="1"/>
    <x v="1"/>
    <d v="2024-05-29T00:00:00"/>
    <x v="2"/>
  </r>
  <r>
    <x v="32"/>
    <s v="Ibrahim"/>
    <s v="Ali"/>
    <s v="Ibrahim Ali"/>
    <x v="1"/>
    <n v="31"/>
    <x v="3"/>
    <x v="7"/>
    <x v="32"/>
    <s v="High"/>
    <n v="3"/>
    <s v="Intermediate"/>
    <x v="0"/>
    <x v="0"/>
    <d v="2021-09-05T00:00:00"/>
    <x v="5"/>
  </r>
  <r>
    <x v="33"/>
    <s v="Joy"/>
    <s v="Ojo"/>
    <s v="Joy Ojo"/>
    <x v="1"/>
    <n v="48"/>
    <x v="4"/>
    <x v="6"/>
    <x v="33"/>
    <s v="High"/>
    <n v="9"/>
    <s v="Experienced"/>
    <x v="0"/>
    <x v="0"/>
    <d v="2024-02-26T00:00:00"/>
    <x v="2"/>
  </r>
  <r>
    <x v="34"/>
    <s v="Samuel"/>
    <s v="Ojo"/>
    <s v="Samuel Ojo"/>
    <x v="0"/>
    <n v="26"/>
    <x v="1"/>
    <x v="2"/>
    <x v="34"/>
    <s v="High"/>
    <n v="9"/>
    <s v="Experienced"/>
    <x v="0"/>
    <x v="1"/>
    <d v="2024-09-11T00:00:00"/>
    <x v="2"/>
  </r>
  <r>
    <x v="35"/>
    <s v="Emeka"/>
    <s v="Bello"/>
    <s v="Emeka Bello"/>
    <x v="1"/>
    <n v="22"/>
    <x v="1"/>
    <x v="1"/>
    <x v="35"/>
    <s v="High"/>
    <n v="15"/>
    <s v="Expert"/>
    <x v="1"/>
    <x v="1"/>
    <d v="2022-03-25T00:00:00"/>
    <x v="7"/>
  </r>
  <r>
    <x v="36"/>
    <s v="Blessing"/>
    <s v="Smith"/>
    <s v="Blessing Smith"/>
    <x v="0"/>
    <n v="25"/>
    <x v="1"/>
    <x v="2"/>
    <x v="36"/>
    <s v="High"/>
    <n v="14"/>
    <s v="Expert"/>
    <x v="0"/>
    <x v="3"/>
    <d v="2022-12-10T00:00:00"/>
    <x v="7"/>
  </r>
  <r>
    <x v="37"/>
    <s v="Musa"/>
    <s v="Aminu"/>
    <s v="Musa Aminu"/>
    <x v="1"/>
    <n v="39"/>
    <x v="3"/>
    <x v="7"/>
    <x v="37"/>
    <s v="High"/>
    <n v="17"/>
    <s v="Expert"/>
    <x v="1"/>
    <x v="3"/>
    <d v="2023-01-05T00:00:00"/>
    <x v="3"/>
  </r>
  <r>
    <x v="38"/>
    <s v="Ada"/>
    <s v="Ahmed"/>
    <s v="Ada Ahmed"/>
    <x v="1"/>
    <n v="32"/>
    <x v="4"/>
    <x v="6"/>
    <x v="38"/>
    <s v="High"/>
    <n v="7"/>
    <s v="Experienced"/>
    <x v="2"/>
    <x v="2"/>
    <d v="2019-07-30T00:00:00"/>
    <x v="6"/>
  </r>
  <r>
    <x v="39"/>
    <s v="David"/>
    <s v="Johnson"/>
    <s v="David Johnson"/>
    <x v="0"/>
    <n v="52"/>
    <x v="3"/>
    <x v="4"/>
    <x v="39"/>
    <s v="High"/>
    <n v="18"/>
    <s v="Expert"/>
    <x v="0"/>
    <x v="4"/>
    <d v="2022-07-26T00:00:00"/>
    <x v="7"/>
  </r>
  <r>
    <x v="40"/>
    <s v="Musa"/>
    <s v="Aminu"/>
    <s v="Musa Aminu"/>
    <x v="0"/>
    <n v="47"/>
    <x v="0"/>
    <x v="0"/>
    <x v="40"/>
    <s v="High"/>
    <n v="1"/>
    <s v="Beginner"/>
    <x v="2"/>
    <x v="3"/>
    <d v="2018-12-15T00:00:00"/>
    <x v="1"/>
  </r>
  <r>
    <x v="41"/>
    <s v="Zainab"/>
    <s v="Ahmed"/>
    <s v="Zainab Ahmed"/>
    <x v="1"/>
    <n v="45"/>
    <x v="0"/>
    <x v="9"/>
    <x v="41"/>
    <s v="Medium"/>
    <n v="6"/>
    <s v="Experienced"/>
    <x v="1"/>
    <x v="3"/>
    <d v="2019-01-21T00:00:00"/>
    <x v="6"/>
  </r>
  <r>
    <x v="42"/>
    <s v="Ada"/>
    <s v="Bello"/>
    <s v="Ada Bello"/>
    <x v="1"/>
    <n v="29"/>
    <x v="2"/>
    <x v="8"/>
    <x v="42"/>
    <s v="High"/>
    <n v="6"/>
    <s v="Experienced"/>
    <x v="0"/>
    <x v="1"/>
    <d v="2025-05-06T00:00:00"/>
    <x v="0"/>
  </r>
  <r>
    <x v="43"/>
    <s v="Musa"/>
    <s v="Okafor"/>
    <s v="Musa Okafor"/>
    <x v="1"/>
    <n v="23"/>
    <x v="0"/>
    <x v="9"/>
    <x v="43"/>
    <s v="High"/>
    <n v="11"/>
    <s v="Expert"/>
    <x v="0"/>
    <x v="0"/>
    <d v="2025-07-21T00:00:00"/>
    <x v="0"/>
  </r>
  <r>
    <x v="44"/>
    <s v="Emeka"/>
    <s v="Aminu"/>
    <s v="Emeka Aminu"/>
    <x v="0"/>
    <n v="38"/>
    <x v="3"/>
    <x v="4"/>
    <x v="44"/>
    <s v="High"/>
    <n v="18"/>
    <s v="Expert"/>
    <x v="2"/>
    <x v="2"/>
    <d v="2025-09-12T00:00:00"/>
    <x v="0"/>
  </r>
  <r>
    <x v="45"/>
    <s v="John"/>
    <s v="Aminu"/>
    <s v="John Aminu"/>
    <x v="0"/>
    <n v="42"/>
    <x v="2"/>
    <x v="8"/>
    <x v="45"/>
    <s v="High"/>
    <n v="15"/>
    <s v="Expert"/>
    <x v="1"/>
    <x v="2"/>
    <d v="2024-12-24T00:00:00"/>
    <x v="2"/>
  </r>
  <r>
    <x v="46"/>
    <s v="David"/>
    <s v="Ojo"/>
    <s v="David Ojo"/>
    <x v="1"/>
    <n v="53"/>
    <x v="3"/>
    <x v="4"/>
    <x v="46"/>
    <s v="High"/>
    <n v="11"/>
    <s v="Expert"/>
    <x v="1"/>
    <x v="1"/>
    <d v="2019-06-24T00:00:00"/>
    <x v="6"/>
  </r>
  <r>
    <x v="47"/>
    <s v="Chinedu"/>
    <s v="Ojo"/>
    <s v="Chinedu Ojo"/>
    <x v="1"/>
    <n v="30"/>
    <x v="1"/>
    <x v="1"/>
    <x v="47"/>
    <s v="High"/>
    <n v="3"/>
    <s v="Intermediate"/>
    <x v="2"/>
    <x v="3"/>
    <d v="2022-10-09T00:00:00"/>
    <x v="7"/>
  </r>
  <r>
    <x v="48"/>
    <s v="Blessing"/>
    <s v="Umar"/>
    <s v="Blessing Umar"/>
    <x v="0"/>
    <n v="25"/>
    <x v="4"/>
    <x v="6"/>
    <x v="48"/>
    <s v="High"/>
    <n v="13"/>
    <s v="Expert"/>
    <x v="0"/>
    <x v="1"/>
    <d v="2018-10-03T00:00:00"/>
    <x v="1"/>
  </r>
  <r>
    <x v="49"/>
    <s v="Ada"/>
    <s v="Johnson"/>
    <s v="Ada Johnson"/>
    <x v="0"/>
    <n v="57"/>
    <x v="0"/>
    <x v="0"/>
    <x v="49"/>
    <s v="High"/>
    <n v="16"/>
    <s v="Expert"/>
    <x v="0"/>
    <x v="4"/>
    <d v="2025-06-07T00:00:00"/>
    <x v="0"/>
  </r>
  <r>
    <x v="50"/>
    <s v="Zainab"/>
    <s v="Ojo"/>
    <s v="Zainab Ojo"/>
    <x v="0"/>
    <n v="47"/>
    <x v="3"/>
    <x v="4"/>
    <x v="50"/>
    <s v="High"/>
    <n v="17"/>
    <s v="Expert"/>
    <x v="0"/>
    <x v="2"/>
    <d v="2024-07-11T00:00:00"/>
    <x v="2"/>
  </r>
  <r>
    <x v="51"/>
    <s v="Blessing"/>
    <s v="Johnson"/>
    <s v="Blessing Johnson"/>
    <x v="1"/>
    <n v="23"/>
    <x v="1"/>
    <x v="1"/>
    <x v="51"/>
    <s v="High"/>
    <n v="5"/>
    <s v="Intermediate"/>
    <x v="0"/>
    <x v="4"/>
    <d v="2025-03-14T00:00:00"/>
    <x v="0"/>
  </r>
  <r>
    <x v="52"/>
    <s v="Aisha"/>
    <s v="Aminu"/>
    <s v="Aisha Aminu"/>
    <x v="0"/>
    <n v="48"/>
    <x v="1"/>
    <x v="2"/>
    <x v="52"/>
    <s v="High"/>
    <n v="10"/>
    <s v="Experienced"/>
    <x v="1"/>
    <x v="3"/>
    <d v="2023-05-28T00:00:00"/>
    <x v="3"/>
  </r>
  <r>
    <x v="53"/>
    <s v="Chinedu"/>
    <s v="Okafor"/>
    <s v="Chinedu Okafor"/>
    <x v="0"/>
    <n v="35"/>
    <x v="0"/>
    <x v="0"/>
    <x v="53"/>
    <s v="High"/>
    <n v="1"/>
    <s v="Beginner"/>
    <x v="0"/>
    <x v="4"/>
    <d v="2018-01-20T00:00:00"/>
    <x v="1"/>
  </r>
  <r>
    <x v="54"/>
    <s v="Zainab"/>
    <s v="Johnson"/>
    <s v="Zainab Johnson"/>
    <x v="0"/>
    <n v="58"/>
    <x v="1"/>
    <x v="2"/>
    <x v="54"/>
    <s v="High"/>
    <n v="3"/>
    <s v="Intermediate"/>
    <x v="1"/>
    <x v="1"/>
    <d v="2022-03-02T00:00:00"/>
    <x v="7"/>
  </r>
  <r>
    <x v="55"/>
    <s v="John"/>
    <s v="Ahmed"/>
    <s v="John Ahmed"/>
    <x v="0"/>
    <n v="48"/>
    <x v="0"/>
    <x v="9"/>
    <x v="55"/>
    <s v="Medium"/>
    <n v="14"/>
    <s v="Expert"/>
    <x v="0"/>
    <x v="0"/>
    <d v="2023-07-31T00:00:00"/>
    <x v="3"/>
  </r>
  <r>
    <x v="56"/>
    <s v="John"/>
    <s v="Okafor"/>
    <s v="John Okafor"/>
    <x v="0"/>
    <n v="32"/>
    <x v="4"/>
    <x v="5"/>
    <x v="56"/>
    <s v="High"/>
    <n v="14"/>
    <s v="Expert"/>
    <x v="0"/>
    <x v="3"/>
    <d v="2018-05-16T00:00:00"/>
    <x v="1"/>
  </r>
  <r>
    <x v="57"/>
    <s v="David"/>
    <s v="Umar"/>
    <s v="David Umar"/>
    <x v="0"/>
    <n v="28"/>
    <x v="1"/>
    <x v="2"/>
    <x v="57"/>
    <s v="High"/>
    <n v="2"/>
    <s v="Beginner"/>
    <x v="2"/>
    <x v="2"/>
    <d v="2020-06-25T00:00:00"/>
    <x v="4"/>
  </r>
  <r>
    <x v="58"/>
    <s v="Zainab"/>
    <s v="Smith"/>
    <s v="Zainab Smith"/>
    <x v="1"/>
    <n v="39"/>
    <x v="1"/>
    <x v="2"/>
    <x v="58"/>
    <s v="High"/>
    <n v="18"/>
    <s v="Expert"/>
    <x v="2"/>
    <x v="4"/>
    <d v="2019-07-08T00:00:00"/>
    <x v="6"/>
  </r>
  <r>
    <x v="59"/>
    <s v="Emeka"/>
    <s v="Ojo"/>
    <s v="Emeka Ojo"/>
    <x v="0"/>
    <n v="28"/>
    <x v="3"/>
    <x v="4"/>
    <x v="59"/>
    <s v="High"/>
    <n v="6"/>
    <s v="Experienced"/>
    <x v="0"/>
    <x v="1"/>
    <d v="2024-06-05T00:00:00"/>
    <x v="2"/>
  </r>
  <r>
    <x v="60"/>
    <s v="Musa"/>
    <s v="Aminu"/>
    <s v="Musa Aminu"/>
    <x v="1"/>
    <n v="24"/>
    <x v="2"/>
    <x v="3"/>
    <x v="60"/>
    <s v="High"/>
    <n v="9"/>
    <s v="Experienced"/>
    <x v="0"/>
    <x v="4"/>
    <d v="2020-05-08T00:00:00"/>
    <x v="4"/>
  </r>
  <r>
    <x v="61"/>
    <s v="Musa"/>
    <s v="Ali"/>
    <s v="Musa Ali"/>
    <x v="0"/>
    <n v="25"/>
    <x v="3"/>
    <x v="4"/>
    <x v="61"/>
    <s v="High"/>
    <n v="20"/>
    <s v="Expert"/>
    <x v="2"/>
    <x v="2"/>
    <d v="2023-12-02T00:00:00"/>
    <x v="3"/>
  </r>
  <r>
    <x v="62"/>
    <s v="John"/>
    <s v="Umar"/>
    <s v="John Umar"/>
    <x v="0"/>
    <n v="33"/>
    <x v="3"/>
    <x v="7"/>
    <x v="62"/>
    <s v="High"/>
    <n v="11"/>
    <s v="Expert"/>
    <x v="0"/>
    <x v="3"/>
    <d v="2024-11-04T00:00:00"/>
    <x v="2"/>
  </r>
  <r>
    <x v="63"/>
    <s v="Blessing"/>
    <s v="Aminu"/>
    <s v="Blessing Aminu"/>
    <x v="0"/>
    <n v="40"/>
    <x v="1"/>
    <x v="1"/>
    <x v="63"/>
    <s v="High"/>
    <n v="19"/>
    <s v="Expert"/>
    <x v="2"/>
    <x v="1"/>
    <d v="2024-03-27T00:00:00"/>
    <x v="2"/>
  </r>
  <r>
    <x v="64"/>
    <s v="David"/>
    <s v="Johnson"/>
    <s v="David Johnson"/>
    <x v="0"/>
    <n v="42"/>
    <x v="4"/>
    <x v="6"/>
    <x v="64"/>
    <s v="High"/>
    <n v="11"/>
    <s v="Expert"/>
    <x v="1"/>
    <x v="0"/>
    <d v="2019-06-25T00:00:00"/>
    <x v="6"/>
  </r>
  <r>
    <x v="65"/>
    <s v="Musa"/>
    <s v="Aminu"/>
    <s v="Musa Aminu"/>
    <x v="0"/>
    <n v="25"/>
    <x v="4"/>
    <x v="6"/>
    <x v="65"/>
    <s v="High"/>
    <n v="12"/>
    <s v="Expert"/>
    <x v="1"/>
    <x v="2"/>
    <d v="2018-02-18T00:00:00"/>
    <x v="1"/>
  </r>
  <r>
    <x v="66"/>
    <s v="Fatima"/>
    <s v="Ahmed"/>
    <s v="Fatima Ahmed"/>
    <x v="0"/>
    <n v="24"/>
    <x v="1"/>
    <x v="1"/>
    <x v="66"/>
    <s v="High"/>
    <n v="6"/>
    <s v="Experienced"/>
    <x v="1"/>
    <x v="1"/>
    <d v="2020-05-11T00:00:00"/>
    <x v="4"/>
  </r>
  <r>
    <x v="67"/>
    <s v="Fatima"/>
    <s v="Bello"/>
    <s v="Fatima Bello"/>
    <x v="0"/>
    <n v="42"/>
    <x v="2"/>
    <x v="3"/>
    <x v="67"/>
    <s v="High"/>
    <n v="13"/>
    <s v="Expert"/>
    <x v="2"/>
    <x v="0"/>
    <d v="2021-05-11T00:00:00"/>
    <x v="5"/>
  </r>
  <r>
    <x v="68"/>
    <s v="Ada"/>
    <s v="Aminu"/>
    <s v="Ada Aminu"/>
    <x v="1"/>
    <n v="30"/>
    <x v="0"/>
    <x v="9"/>
    <x v="68"/>
    <s v="High"/>
    <n v="5"/>
    <s v="Intermediate"/>
    <x v="1"/>
    <x v="0"/>
    <d v="2021-04-03T00:00:00"/>
    <x v="5"/>
  </r>
  <r>
    <x v="69"/>
    <s v="John"/>
    <s v="Umar"/>
    <s v="John Umar"/>
    <x v="0"/>
    <n v="37"/>
    <x v="4"/>
    <x v="5"/>
    <x v="69"/>
    <s v="High"/>
    <n v="16"/>
    <s v="Expert"/>
    <x v="0"/>
    <x v="0"/>
    <d v="2020-12-10T00:00:00"/>
    <x v="4"/>
  </r>
  <r>
    <x v="70"/>
    <s v="Ibrahim"/>
    <s v="Johnson"/>
    <s v="Ibrahim Johnson"/>
    <x v="0"/>
    <n v="34"/>
    <x v="2"/>
    <x v="8"/>
    <x v="70"/>
    <s v="High"/>
    <n v="12"/>
    <s v="Expert"/>
    <x v="1"/>
    <x v="3"/>
    <d v="2022-03-03T00:00:00"/>
    <x v="7"/>
  </r>
  <r>
    <x v="71"/>
    <s v="David"/>
    <s v="Smith"/>
    <s v="David Smith"/>
    <x v="0"/>
    <n v="28"/>
    <x v="0"/>
    <x v="0"/>
    <x v="71"/>
    <s v="Medium"/>
    <n v="3"/>
    <s v="Intermediate"/>
    <x v="2"/>
    <x v="3"/>
    <d v="2018-07-08T00:00:00"/>
    <x v="1"/>
  </r>
  <r>
    <x v="72"/>
    <s v="Musa"/>
    <s v="Ahmed"/>
    <s v="Musa Ahmed"/>
    <x v="0"/>
    <n v="50"/>
    <x v="0"/>
    <x v="9"/>
    <x v="72"/>
    <s v="High"/>
    <n v="15"/>
    <s v="Expert"/>
    <x v="0"/>
    <x v="1"/>
    <d v="2022-03-11T00:00:00"/>
    <x v="7"/>
  </r>
  <r>
    <x v="73"/>
    <s v="David"/>
    <s v="Umar"/>
    <s v="David Umar"/>
    <x v="0"/>
    <n v="48"/>
    <x v="0"/>
    <x v="9"/>
    <x v="73"/>
    <s v="High"/>
    <n v="11"/>
    <s v="Expert"/>
    <x v="1"/>
    <x v="3"/>
    <d v="2018-11-16T00:00:00"/>
    <x v="1"/>
  </r>
  <r>
    <x v="74"/>
    <s v="Joy"/>
    <s v="Aminu"/>
    <s v="Joy Aminu"/>
    <x v="0"/>
    <n v="52"/>
    <x v="1"/>
    <x v="2"/>
    <x v="74"/>
    <s v="High"/>
    <n v="20"/>
    <s v="Expert"/>
    <x v="2"/>
    <x v="2"/>
    <d v="2021-04-28T00:00:00"/>
    <x v="5"/>
  </r>
  <r>
    <x v="75"/>
    <s v="Mary"/>
    <s v="Ojo"/>
    <s v="Mary Ojo"/>
    <x v="1"/>
    <n v="43"/>
    <x v="2"/>
    <x v="8"/>
    <x v="75"/>
    <s v="High"/>
    <n v="18"/>
    <s v="Expert"/>
    <x v="1"/>
    <x v="1"/>
    <d v="2024-02-14T00:00:00"/>
    <x v="2"/>
  </r>
  <r>
    <x v="76"/>
    <s v="Aisha"/>
    <s v="Ahmed"/>
    <s v="Aisha Ahmed"/>
    <x v="0"/>
    <n v="41"/>
    <x v="0"/>
    <x v="9"/>
    <x v="76"/>
    <s v="High"/>
    <n v="4"/>
    <s v="Intermediate"/>
    <x v="0"/>
    <x v="2"/>
    <d v="2024-10-05T00:00:00"/>
    <x v="2"/>
  </r>
  <r>
    <x v="77"/>
    <s v="Samuel"/>
    <s v="Ahmed"/>
    <s v="Samuel Ahmed"/>
    <x v="0"/>
    <n v="45"/>
    <x v="2"/>
    <x v="8"/>
    <x v="77"/>
    <s v="High"/>
    <n v="8"/>
    <s v="Experienced"/>
    <x v="2"/>
    <x v="3"/>
    <d v="2018-06-18T00:00:00"/>
    <x v="1"/>
  </r>
  <r>
    <x v="78"/>
    <s v="Fatima"/>
    <s v="Okafor"/>
    <s v="Fatima Okafor"/>
    <x v="0"/>
    <n v="43"/>
    <x v="3"/>
    <x v="4"/>
    <x v="78"/>
    <s v="High"/>
    <n v="16"/>
    <s v="Expert"/>
    <x v="0"/>
    <x v="2"/>
    <d v="2021-04-23T00:00:00"/>
    <x v="5"/>
  </r>
  <r>
    <x v="79"/>
    <s v="Grace"/>
    <s v="Aminu"/>
    <s v="Grace Aminu"/>
    <x v="1"/>
    <n v="43"/>
    <x v="1"/>
    <x v="1"/>
    <x v="79"/>
    <s v="High"/>
    <n v="10"/>
    <s v="Experienced"/>
    <x v="2"/>
    <x v="3"/>
    <d v="2020-07-11T00:00:00"/>
    <x v="4"/>
  </r>
  <r>
    <x v="80"/>
    <s v="Zainab"/>
    <s v="Johnson"/>
    <s v="Zainab Johnson"/>
    <x v="0"/>
    <n v="43"/>
    <x v="2"/>
    <x v="8"/>
    <x v="80"/>
    <s v="High"/>
    <n v="2"/>
    <s v="Beginner"/>
    <x v="2"/>
    <x v="2"/>
    <d v="2021-10-06T00:00:00"/>
    <x v="5"/>
  </r>
  <r>
    <x v="81"/>
    <s v="Musa"/>
    <s v="Ali"/>
    <s v="Musa Ali"/>
    <x v="1"/>
    <n v="35"/>
    <x v="0"/>
    <x v="9"/>
    <x v="81"/>
    <s v="High"/>
    <n v="6"/>
    <s v="Experienced"/>
    <x v="1"/>
    <x v="4"/>
    <d v="2024-07-10T00:00:00"/>
    <x v="2"/>
  </r>
  <r>
    <x v="82"/>
    <s v="Musa"/>
    <s v="Ali"/>
    <s v="Musa Ali"/>
    <x v="0"/>
    <n v="26"/>
    <x v="4"/>
    <x v="5"/>
    <x v="82"/>
    <s v="High"/>
    <n v="18"/>
    <s v="Expert"/>
    <x v="1"/>
    <x v="1"/>
    <d v="2021-08-23T00:00:00"/>
    <x v="5"/>
  </r>
  <r>
    <x v="83"/>
    <s v="Fatima"/>
    <s v="Ali"/>
    <s v="Fatima Ali"/>
    <x v="1"/>
    <n v="41"/>
    <x v="1"/>
    <x v="1"/>
    <x v="83"/>
    <s v="High"/>
    <n v="18"/>
    <s v="Expert"/>
    <x v="2"/>
    <x v="2"/>
    <d v="2022-05-04T00:00:00"/>
    <x v="7"/>
  </r>
  <r>
    <x v="84"/>
    <s v="Ada"/>
    <s v="Johnson"/>
    <s v="Ada Johnson"/>
    <x v="1"/>
    <n v="38"/>
    <x v="1"/>
    <x v="1"/>
    <x v="84"/>
    <s v="High"/>
    <n v="5"/>
    <s v="Intermediate"/>
    <x v="0"/>
    <x v="1"/>
    <d v="2023-05-14T00:00:00"/>
    <x v="3"/>
  </r>
  <r>
    <x v="85"/>
    <s v="Joy"/>
    <s v="Johnson"/>
    <s v="Joy Johnson"/>
    <x v="0"/>
    <n v="23"/>
    <x v="4"/>
    <x v="5"/>
    <x v="85"/>
    <s v="High"/>
    <n v="9"/>
    <s v="Experienced"/>
    <x v="1"/>
    <x v="2"/>
    <d v="2021-11-14T00:00:00"/>
    <x v="5"/>
  </r>
  <r>
    <x v="86"/>
    <s v="Aisha"/>
    <s v="Johnson"/>
    <s v="Aisha Johnson"/>
    <x v="1"/>
    <n v="31"/>
    <x v="3"/>
    <x v="4"/>
    <x v="86"/>
    <s v="High"/>
    <n v="7"/>
    <s v="Experienced"/>
    <x v="0"/>
    <x v="2"/>
    <d v="2024-07-18T00:00:00"/>
    <x v="2"/>
  </r>
  <r>
    <x v="87"/>
    <s v="David"/>
    <s v="Eze"/>
    <s v="David Eze"/>
    <x v="1"/>
    <n v="47"/>
    <x v="1"/>
    <x v="1"/>
    <x v="87"/>
    <s v="High"/>
    <n v="20"/>
    <s v="Expert"/>
    <x v="2"/>
    <x v="2"/>
    <d v="2024-07-09T00:00:00"/>
    <x v="2"/>
  </r>
  <r>
    <x v="88"/>
    <s v="David"/>
    <s v="Aminu"/>
    <s v="David Aminu"/>
    <x v="0"/>
    <n v="46"/>
    <x v="2"/>
    <x v="3"/>
    <x v="88"/>
    <s v="High"/>
    <n v="20"/>
    <s v="Expert"/>
    <x v="1"/>
    <x v="0"/>
    <d v="2019-07-12T00:00:00"/>
    <x v="6"/>
  </r>
  <r>
    <x v="89"/>
    <s v="Ada"/>
    <s v="Eze"/>
    <s v="Ada Eze"/>
    <x v="1"/>
    <n v="42"/>
    <x v="4"/>
    <x v="5"/>
    <x v="89"/>
    <s v="High"/>
    <n v="11"/>
    <s v="Expert"/>
    <x v="0"/>
    <x v="1"/>
    <d v="2020-07-05T00:00:00"/>
    <x v="4"/>
  </r>
  <r>
    <x v="90"/>
    <s v="Grace"/>
    <s v="Bello"/>
    <s v="Grace Bello"/>
    <x v="0"/>
    <n v="46"/>
    <x v="2"/>
    <x v="3"/>
    <x v="90"/>
    <s v="High"/>
    <n v="3"/>
    <s v="Intermediate"/>
    <x v="1"/>
    <x v="3"/>
    <d v="2020-05-04T00:00:00"/>
    <x v="4"/>
  </r>
  <r>
    <x v="91"/>
    <s v="Ada"/>
    <s v="Aminu"/>
    <s v="Ada Aminu"/>
    <x v="1"/>
    <n v="42"/>
    <x v="2"/>
    <x v="8"/>
    <x v="91"/>
    <s v="High"/>
    <n v="8"/>
    <s v="Experienced"/>
    <x v="1"/>
    <x v="3"/>
    <d v="2019-02-28T00:00:00"/>
    <x v="6"/>
  </r>
  <r>
    <x v="92"/>
    <s v="Emeka"/>
    <s v="Ali"/>
    <s v="Emeka Ali"/>
    <x v="0"/>
    <n v="58"/>
    <x v="2"/>
    <x v="3"/>
    <x v="92"/>
    <s v="High"/>
    <n v="16"/>
    <s v="Expert"/>
    <x v="2"/>
    <x v="1"/>
    <d v="2020-07-14T00:00:00"/>
    <x v="4"/>
  </r>
  <r>
    <x v="93"/>
    <s v="Mary"/>
    <s v="Ojo"/>
    <s v="Mary Ojo"/>
    <x v="0"/>
    <n v="46"/>
    <x v="0"/>
    <x v="9"/>
    <x v="93"/>
    <s v="High"/>
    <n v="1"/>
    <s v="Beginner"/>
    <x v="1"/>
    <x v="1"/>
    <d v="2019-11-14T00:00:00"/>
    <x v="6"/>
  </r>
  <r>
    <x v="94"/>
    <s v="Blessing"/>
    <s v="Okafor"/>
    <s v="Blessing Okafor"/>
    <x v="0"/>
    <n v="37"/>
    <x v="0"/>
    <x v="0"/>
    <x v="94"/>
    <s v="High"/>
    <n v="17"/>
    <s v="Expert"/>
    <x v="0"/>
    <x v="1"/>
    <d v="2021-10-14T00:00:00"/>
    <x v="5"/>
  </r>
  <r>
    <x v="95"/>
    <s v="David"/>
    <s v="Umar"/>
    <s v="David Umar"/>
    <x v="1"/>
    <n v="52"/>
    <x v="0"/>
    <x v="0"/>
    <x v="95"/>
    <s v="High"/>
    <n v="3"/>
    <s v="Intermediate"/>
    <x v="0"/>
    <x v="0"/>
    <d v="2018-12-02T00:00:00"/>
    <x v="1"/>
  </r>
  <r>
    <x v="96"/>
    <s v="Grace"/>
    <s v="Ali"/>
    <s v="Grace Ali"/>
    <x v="0"/>
    <n v="33"/>
    <x v="2"/>
    <x v="8"/>
    <x v="96"/>
    <s v="High"/>
    <n v="18"/>
    <s v="Expert"/>
    <x v="1"/>
    <x v="0"/>
    <d v="2024-03-20T00:00:00"/>
    <x v="2"/>
  </r>
  <r>
    <x v="97"/>
    <s v="John"/>
    <s v="Aminu"/>
    <s v="John Aminu"/>
    <x v="1"/>
    <n v="40"/>
    <x v="0"/>
    <x v="9"/>
    <x v="97"/>
    <s v="High"/>
    <n v="14"/>
    <s v="Expert"/>
    <x v="1"/>
    <x v="4"/>
    <d v="2020-12-12T00:00:00"/>
    <x v="4"/>
  </r>
  <r>
    <x v="98"/>
    <s v="Zainab"/>
    <s v="Eze"/>
    <s v="Zainab Eze"/>
    <x v="0"/>
    <n v="52"/>
    <x v="4"/>
    <x v="5"/>
    <x v="98"/>
    <s v="High"/>
    <n v="15"/>
    <s v="Expert"/>
    <x v="2"/>
    <x v="2"/>
    <d v="2026-02-01T00:00:00"/>
    <x v="8"/>
  </r>
  <r>
    <x v="99"/>
    <s v="Ibrahim"/>
    <s v="Ojo"/>
    <s v="Ibrahim Ojo"/>
    <x v="1"/>
    <n v="27"/>
    <x v="3"/>
    <x v="7"/>
    <x v="99"/>
    <s v="High"/>
    <n v="12"/>
    <s v="Expert"/>
    <x v="0"/>
    <x v="4"/>
    <d v="2022-01-31T00:00:0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9867D-6A31-4115-ADA4-BD40F1E9BEA9}" name="PivotTable26"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1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pivotField showAll="0"/>
    <pivotField showAll="0"/>
    <pivotField showAll="0"/>
    <pivotField numFmtId="164" showAll="0"/>
    <pivotField showAll="0"/>
  </pivotFields>
  <rowFields count="1">
    <field x="6"/>
  </rowFields>
  <rowItems count="6">
    <i>
      <x v="4"/>
    </i>
    <i>
      <x v="3"/>
    </i>
    <i>
      <x/>
    </i>
    <i>
      <x v="1"/>
    </i>
    <i>
      <x v="2"/>
    </i>
    <i t="grand">
      <x/>
    </i>
  </rowItems>
  <colItems count="1">
    <i/>
  </colItems>
  <dataFields count="1">
    <dataField name="Count of EmployeeID" fld="0" subtotal="count"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EB81C9-662F-4971-A437-94B4DBD7944B}" name="PivotTable27"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6">
    <pivotField showAll="0"/>
    <pivotField showAll="0"/>
    <pivotField showAll="0"/>
    <pivotField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dataField="1" numFmtId="166" showAll="0">
      <items count="101">
        <item x="28"/>
        <item x="8"/>
        <item x="4"/>
        <item x="41"/>
        <item x="55"/>
        <item x="71"/>
        <item x="5"/>
        <item x="1"/>
        <item x="17"/>
        <item x="39"/>
        <item x="94"/>
        <item x="7"/>
        <item x="97"/>
        <item x="67"/>
        <item x="15"/>
        <item x="83"/>
        <item x="9"/>
        <item x="40"/>
        <item x="44"/>
        <item x="59"/>
        <item x="11"/>
        <item x="85"/>
        <item x="90"/>
        <item x="70"/>
        <item x="73"/>
        <item x="24"/>
        <item x="69"/>
        <item x="30"/>
        <item x="48"/>
        <item x="60"/>
        <item x="99"/>
        <item x="75"/>
        <item x="79"/>
        <item x="42"/>
        <item x="50"/>
        <item x="31"/>
        <item x="78"/>
        <item x="98"/>
        <item x="92"/>
        <item x="36"/>
        <item x="63"/>
        <item x="62"/>
        <item x="93"/>
        <item x="2"/>
        <item x="95"/>
        <item x="56"/>
        <item x="37"/>
        <item x="46"/>
        <item x="16"/>
        <item x="45"/>
        <item x="91"/>
        <item x="66"/>
        <item x="87"/>
        <item x="65"/>
        <item x="34"/>
        <item x="18"/>
        <item x="25"/>
        <item x="53"/>
        <item x="74"/>
        <item x="13"/>
        <item x="58"/>
        <item x="68"/>
        <item x="0"/>
        <item x="86"/>
        <item x="76"/>
        <item x="14"/>
        <item x="80"/>
        <item x="35"/>
        <item x="32"/>
        <item x="84"/>
        <item x="6"/>
        <item x="89"/>
        <item x="27"/>
        <item x="3"/>
        <item x="19"/>
        <item x="21"/>
        <item x="22"/>
        <item x="47"/>
        <item x="61"/>
        <item x="20"/>
        <item x="12"/>
        <item x="82"/>
        <item x="29"/>
        <item x="10"/>
        <item x="57"/>
        <item x="26"/>
        <item x="23"/>
        <item x="43"/>
        <item x="72"/>
        <item x="77"/>
        <item x="96"/>
        <item x="51"/>
        <item x="88"/>
        <item x="33"/>
        <item x="81"/>
        <item x="38"/>
        <item x="64"/>
        <item x="52"/>
        <item x="54"/>
        <item x="49"/>
        <item t="default"/>
      </items>
    </pivotField>
    <pivotField showAll="0"/>
    <pivotField showAll="0"/>
    <pivotField showAll="0"/>
    <pivotField showAll="0"/>
    <pivotField showAll="0"/>
    <pivotField numFmtId="164" showAll="0"/>
    <pivotField showAll="0"/>
  </pivotFields>
  <rowFields count="1">
    <field x="6"/>
  </rowFields>
  <rowItems count="6">
    <i>
      <x v="3"/>
    </i>
    <i>
      <x v="1"/>
    </i>
    <i>
      <x/>
    </i>
    <i>
      <x v="4"/>
    </i>
    <i>
      <x v="2"/>
    </i>
    <i t="grand">
      <x/>
    </i>
  </rowItems>
  <colItems count="1">
    <i/>
  </colItems>
  <dataFields count="1">
    <dataField name="Average of Salary" fld="8" subtotal="average" baseField="0" baseItem="0" numFmtId="166"/>
  </dataFields>
  <formats count="2">
    <format dxfId="1">
      <pivotArea collapsedLevelsAreSubtotals="1" fieldPosition="0">
        <references count="1">
          <reference field="6" count="1">
            <x v="0"/>
          </reference>
        </references>
      </pivotArea>
    </format>
    <format dxfId="0">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29D30-E7F4-4D9A-A3A1-38021090169C}" name="PivotTable28"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0" firstHeaderRow="1" firstDataRow="2" firstDataCol="1"/>
  <pivotFields count="16">
    <pivotField dataField="1" showAll="0"/>
    <pivotField showAll="0"/>
    <pivotField showAll="0"/>
    <pivotField showAll="0"/>
    <pivotField showAll="0"/>
    <pivotField showAll="0"/>
    <pivotField axis="axisRow" showAll="0" sortType="descending">
      <items count="6">
        <item x="4"/>
        <item x="2"/>
        <item x="3"/>
        <item x="1"/>
        <item x="0"/>
        <item t="default"/>
      </items>
      <autoSortScope>
        <pivotArea dataOnly="0" outline="0" fieldPosition="0">
          <references count="2">
            <reference field="4294967294" count="1" selected="0">
              <x v="0"/>
            </reference>
            <reference field="12" count="1" selected="0">
              <x v="1"/>
            </reference>
          </references>
        </pivotArea>
      </autoSortScope>
    </pivotField>
    <pivotField showAll="0"/>
    <pivotField numFmtId="166" showAll="0"/>
    <pivotField showAll="0"/>
    <pivotField showAll="0"/>
    <pivotField showAll="0"/>
    <pivotField axis="axisCol" showAll="0">
      <items count="4">
        <item x="0"/>
        <item x="1"/>
        <item x="2"/>
        <item t="default"/>
      </items>
    </pivotField>
    <pivotField showAll="0"/>
    <pivotField numFmtId="164" showAll="0"/>
    <pivotField showAll="0"/>
  </pivotFields>
  <rowFields count="1">
    <field x="6"/>
  </rowFields>
  <rowItems count="6">
    <i>
      <x v="1"/>
    </i>
    <i>
      <x v="4"/>
    </i>
    <i>
      <x/>
    </i>
    <i>
      <x v="3"/>
    </i>
    <i>
      <x v="2"/>
    </i>
    <i t="grand">
      <x/>
    </i>
  </rowItems>
  <colFields count="1">
    <field x="12"/>
  </colFields>
  <colItems count="4">
    <i>
      <x/>
    </i>
    <i>
      <x v="1"/>
    </i>
    <i>
      <x v="2"/>
    </i>
    <i t="grand">
      <x/>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1377C9-76FD-41E9-AEA5-39D809C2EA92}" name="PivotTable29"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6">
    <pivotField showAll="0"/>
    <pivotField showAll="0"/>
    <pivotField showAll="0"/>
    <pivotField showAll="0"/>
    <pivotField axis="axisRow" showAll="0">
      <items count="3">
        <item x="1"/>
        <item x="0"/>
        <item t="default"/>
      </items>
    </pivotField>
    <pivotField showAll="0"/>
    <pivotField showAll="0"/>
    <pivotField showAll="0"/>
    <pivotField dataField="1" numFmtId="166" showAll="0"/>
    <pivotField showAll="0"/>
    <pivotField showAll="0"/>
    <pivotField showAll="0"/>
    <pivotField showAll="0"/>
    <pivotField showAll="0"/>
    <pivotField numFmtId="164" showAll="0"/>
    <pivotField showAll="0"/>
  </pivotFields>
  <rowFields count="1">
    <field x="4"/>
  </rowFields>
  <rowItems count="3">
    <i>
      <x/>
    </i>
    <i>
      <x v="1"/>
    </i>
    <i t="grand">
      <x/>
    </i>
  </rowItems>
  <colItems count="1">
    <i/>
  </colItems>
  <dataFields count="1">
    <dataField name="Average of Salary" fld="8" subtotal="average" baseField="0" baseItem="0" numFmtId="166"/>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5D883F-FAF3-4998-94D9-9B85DCDE555B}" name="PivotTable30"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6">
    <pivotField dataField="1" showAll="0"/>
    <pivotField showAll="0"/>
    <pivotField showAll="0"/>
    <pivotField showAll="0"/>
    <pivotField showAll="0"/>
    <pivotField showAll="0"/>
    <pivotField showAll="0"/>
    <pivotField showAll="0"/>
    <pivotField numFmtId="166" showAll="0"/>
    <pivotField showAll="0"/>
    <pivotField showAll="0"/>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numFmtId="164" showAll="0"/>
    <pivotField showAll="0"/>
  </pivotFields>
  <rowFields count="1">
    <field x="13"/>
  </rowFields>
  <rowItems count="6">
    <i>
      <x v="2"/>
    </i>
    <i>
      <x v="4"/>
    </i>
    <i>
      <x v="1"/>
    </i>
    <i>
      <x/>
    </i>
    <i>
      <x v="3"/>
    </i>
    <i t="grand">
      <x/>
    </i>
  </rowItems>
  <colItems count="1">
    <i/>
  </colItems>
  <dataFields count="1">
    <dataField name="Count of EmployeeID" fld="0" subtotal="count" baseField="1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86C49-0726-4062-B6E8-EDE7FD4C036A}" name="PivotTable31"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6">
    <pivotField showAll="0"/>
    <pivotField showAll="0"/>
    <pivotField showAll="0"/>
    <pivotField showAll="0"/>
    <pivotField showAll="0"/>
    <pivotField showAll="0"/>
    <pivotField axis="axisRow" showAll="0">
      <items count="6">
        <item x="4"/>
        <item x="2"/>
        <item x="3"/>
        <item x="1"/>
        <item x="0"/>
        <item t="default"/>
      </items>
    </pivotField>
    <pivotField showAll="0"/>
    <pivotField numFmtId="166" showAll="0"/>
    <pivotField showAll="0"/>
    <pivotField dataField="1" showAll="0"/>
    <pivotField showAll="0"/>
    <pivotField showAll="0"/>
    <pivotField showAll="0"/>
    <pivotField numFmtId="164" showAll="0"/>
    <pivotField showAll="0"/>
  </pivotFields>
  <rowFields count="1">
    <field x="6"/>
  </rowFields>
  <rowItems count="6">
    <i>
      <x/>
    </i>
    <i>
      <x v="1"/>
    </i>
    <i>
      <x v="2"/>
    </i>
    <i>
      <x v="3"/>
    </i>
    <i>
      <x v="4"/>
    </i>
    <i t="grand">
      <x/>
    </i>
  </rowItems>
  <colItems count="1">
    <i/>
  </colItems>
  <dataFields count="1">
    <dataField name="Average of YearsExperience"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2F416D-A147-4D56-8DD4-9DCB163D92CC}" name="PivotTable32"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16">
    <pivotField dataField="1" showAll="0"/>
    <pivotField showAll="0"/>
    <pivotField showAll="0"/>
    <pivotField showAll="0"/>
    <pivotField showAll="0"/>
    <pivotField showAll="0"/>
    <pivotField showAll="0"/>
    <pivotField axis="axisRow" showAll="0" sortType="descending">
      <items count="11">
        <item x="6"/>
        <item x="7"/>
        <item x="1"/>
        <item x="5"/>
        <item x="8"/>
        <item x="4"/>
        <item x="2"/>
        <item x="3"/>
        <item x="0"/>
        <item x="9"/>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showAll="0"/>
    <pivotField showAll="0"/>
    <pivotField numFmtId="164" showAll="0"/>
    <pivotField showAll="0"/>
  </pivotFields>
  <rowFields count="1">
    <field x="7"/>
  </rowFields>
  <rowItems count="11">
    <i>
      <x v="8"/>
    </i>
    <i>
      <x v="2"/>
    </i>
    <i>
      <x v="5"/>
    </i>
    <i>
      <x v="9"/>
    </i>
    <i>
      <x/>
    </i>
    <i>
      <x v="4"/>
    </i>
    <i>
      <x v="6"/>
    </i>
    <i>
      <x v="3"/>
    </i>
    <i>
      <x v="7"/>
    </i>
    <i>
      <x v="1"/>
    </i>
    <i t="grand">
      <x/>
    </i>
  </rowItems>
  <colItems count="1">
    <i/>
  </colItems>
  <dataFields count="1">
    <dataField name="Count of Employee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D904E-40F7-4A0F-BC98-F9FD9C4091AC}" name="PivotTable33"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3" firstHeaderRow="1" firstDataRow="1" firstDataCol="1"/>
  <pivotFields count="16">
    <pivotField dataField="1" showAll="0"/>
    <pivotField showAll="0"/>
    <pivotField showAll="0"/>
    <pivotField showAll="0"/>
    <pivotField showAll="0">
      <items count="3">
        <item x="1"/>
        <item x="0"/>
        <item t="default"/>
      </items>
    </pivotField>
    <pivotField showAll="0"/>
    <pivotField showAll="0">
      <items count="6">
        <item x="4"/>
        <item x="2"/>
        <item x="3"/>
        <item x="1"/>
        <item x="0"/>
        <item t="default"/>
      </items>
    </pivotField>
    <pivotField showAll="0"/>
    <pivotField numFmtId="166" showAll="0"/>
    <pivotField showAll="0"/>
    <pivotField showAll="0"/>
    <pivotField showAll="0"/>
    <pivotField showAll="0"/>
    <pivotField showAll="0">
      <items count="6">
        <item x="2"/>
        <item x="0"/>
        <item x="3"/>
        <item x="4"/>
        <item x="1"/>
        <item t="default"/>
      </items>
    </pivotField>
    <pivotField numFmtId="164" showAll="0"/>
    <pivotField axis="axisRow" showAll="0" sortType="ascending">
      <items count="10">
        <item x="1"/>
        <item x="6"/>
        <item x="4"/>
        <item x="5"/>
        <item x="7"/>
        <item x="3"/>
        <item x="2"/>
        <item x="0"/>
        <item x="8"/>
        <item t="default"/>
      </items>
    </pivotField>
  </pivotFields>
  <rowFields count="1">
    <field x="15"/>
  </rowFields>
  <rowItems count="10">
    <i>
      <x/>
    </i>
    <i>
      <x v="1"/>
    </i>
    <i>
      <x v="2"/>
    </i>
    <i>
      <x v="3"/>
    </i>
    <i>
      <x v="4"/>
    </i>
    <i>
      <x v="5"/>
    </i>
    <i>
      <x v="6"/>
    </i>
    <i>
      <x v="7"/>
    </i>
    <i>
      <x v="8"/>
    </i>
    <i t="grand">
      <x/>
    </i>
  </rowItems>
  <colItems count="1">
    <i/>
  </colItems>
  <dataFields count="1">
    <dataField name="Count of EmployeeI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A5827E-E845-4EEA-8102-AF02E6141F24}" name="PivotTable35"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6">
    <pivotField showAll="0"/>
    <pivotField showAll="0"/>
    <pivotField showAll="0"/>
    <pivotField showAll="0"/>
    <pivotField showAll="0"/>
    <pivotField dataField="1" showAll="0"/>
    <pivotField axis="axisRow" showAll="0">
      <items count="6">
        <item x="4"/>
        <item x="2"/>
        <item x="3"/>
        <item x="1"/>
        <item x="0"/>
        <item t="default"/>
      </items>
    </pivotField>
    <pivotField showAll="0"/>
    <pivotField numFmtId="166" showAll="0"/>
    <pivotField showAll="0"/>
    <pivotField showAll="0"/>
    <pivotField showAll="0"/>
    <pivotField showAll="0"/>
    <pivotField showAll="0"/>
    <pivotField numFmtId="164" showAll="0"/>
    <pivotField showAll="0"/>
  </pivotFields>
  <rowFields count="1">
    <field x="6"/>
  </rowFields>
  <rowItems count="6">
    <i>
      <x/>
    </i>
    <i>
      <x v="1"/>
    </i>
    <i>
      <x v="2"/>
    </i>
    <i>
      <x v="3"/>
    </i>
    <i>
      <x v="4"/>
    </i>
    <i t="grand">
      <x/>
    </i>
  </rowItems>
  <colItems count="1">
    <i/>
  </colItems>
  <dataFields count="1">
    <dataField name="Average of Age" fld="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EC4F33-7789-46F9-86B0-4BA95D158703}" name="PivotTable36" cacheId="8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7" firstHeaderRow="1" firstDataRow="2" firstDataCol="1"/>
  <pivotFields count="16">
    <pivotField dataField="1" showAll="0"/>
    <pivotField showAll="0"/>
    <pivotField showAll="0"/>
    <pivotField showAll="0"/>
    <pivotField axis="axisRow" showAll="0">
      <items count="3">
        <item x="1"/>
        <item x="0"/>
        <item t="default"/>
      </items>
    </pivotField>
    <pivotField showAll="0"/>
    <pivotField showAll="0"/>
    <pivotField showAll="0"/>
    <pivotField numFmtId="166" showAll="0"/>
    <pivotField showAll="0"/>
    <pivotField showAll="0"/>
    <pivotField showAll="0"/>
    <pivotField axis="axisCol" showAll="0">
      <items count="4">
        <item x="0"/>
        <item x="1"/>
        <item x="2"/>
        <item t="default"/>
      </items>
    </pivotField>
    <pivotField showAll="0"/>
    <pivotField numFmtId="164" showAll="0"/>
    <pivotField showAll="0"/>
  </pivotFields>
  <rowFields count="1">
    <field x="4"/>
  </rowFields>
  <rowItems count="3">
    <i>
      <x/>
    </i>
    <i>
      <x v="1"/>
    </i>
    <i t="grand">
      <x/>
    </i>
  </rowItems>
  <colFields count="1">
    <field x="12"/>
  </colFields>
  <colItems count="4">
    <i>
      <x/>
    </i>
    <i>
      <x v="1"/>
    </i>
    <i>
      <x v="2"/>
    </i>
    <i t="grand">
      <x/>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0D36E7-D168-4D15-9F1C-7E00E4AC048C}" sourceName="Department">
  <pivotTables>
    <pivotTable tabId="9" name="PivotTable33"/>
  </pivotTables>
  <data>
    <tabular pivotCacheId="261875425">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E62629-7C8C-4D9C-A5C9-9D9B854CE0CF}" sourceName="Gender">
  <pivotTables>
    <pivotTable tabId="9" name="PivotTable33"/>
  </pivotTables>
  <data>
    <tabular pivotCacheId="2618754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F43D32-7004-44ED-BF1E-1947DF6E6BF0}" sourceName="State">
  <pivotTables>
    <pivotTable tabId="9" name="PivotTable33"/>
  </pivotTables>
  <data>
    <tabular pivotCacheId="261875425">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Year" xr10:uid="{B10D1AEF-4C11-4411-9F96-69D9B9347F43}" sourceName="Hire Year">
  <pivotTables>
    <pivotTable tabId="9" name="PivotTable33"/>
  </pivotTables>
  <data>
    <tabular pivotCacheId="261875425">
      <items count="9">
        <i x="1" s="1"/>
        <i x="6" s="1"/>
        <i x="4" s="1"/>
        <i x="5" s="1"/>
        <i x="7" s="1"/>
        <i x="3" s="1"/>
        <i x="2"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A134702-29A1-4199-A050-C7DB70CB982E}" cache="Slicer_Department" caption="Department" rowHeight="241300"/>
  <slicer name="Gender" xr10:uid="{B717477D-ADB3-4B8F-BCD7-D64566B07B78}" cache="Slicer_Gender" caption="Gender" rowHeight="241300"/>
  <slicer name="State" xr10:uid="{3294E608-74E4-4253-B627-C999B122AE22}" cache="Slicer_State" caption="State" rowHeight="241300"/>
  <slicer name="Hire Year" xr10:uid="{6F9A4E9F-E9DD-446D-A4FF-CD3C2D5EE2B3}" cache="Slicer_Hire_Year" caption="Hire Year"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A4C94B-1376-4A55-A12C-B02FBFCCAB4B}" name="Table2" displayName="Table2" ref="A1:P101" totalsRowShown="0">
  <autoFilter ref="A1:P101" xr:uid="{9AFC1B10-32B8-4036-B1ED-AC7E7E3C5675}"/>
  <tableColumns count="16">
    <tableColumn id="1" xr3:uid="{B8A042BA-52F2-48F1-BA72-232B4D761D93}" name="EmployeeID"/>
    <tableColumn id="2" xr3:uid="{ADF4C039-4675-4D8B-88C6-007142015409}" name="FirstName"/>
    <tableColumn id="3" xr3:uid="{AF43C183-F1E7-43C2-B979-E9DB1803E65E}" name="LastName"/>
    <tableColumn id="13" xr3:uid="{ABE6CC30-44DF-4CCA-8154-181CA993F739}" name="Full Name" dataDxfId="5">
      <calculatedColumnFormula>B2&amp;" "&amp;C2</calculatedColumnFormula>
    </tableColumn>
    <tableColumn id="4" xr3:uid="{E4FE1BEF-D22F-44E6-AD72-0994A23D0297}" name="Gender"/>
    <tableColumn id="5" xr3:uid="{FADAD6A7-ECE6-4C41-B700-64CAD15ED1DA}" name="Age"/>
    <tableColumn id="6" xr3:uid="{17A79CB2-618A-4BC6-8D9A-C78BA4E33CA9}" name="Department"/>
    <tableColumn id="7" xr3:uid="{9A0959C5-7473-4B83-81EA-13937EDA65A3}" name="JobTitle"/>
    <tableColumn id="8" xr3:uid="{244410F0-454F-42A8-A453-3A612C0DD524}" name="Salary" dataDxfId="7"/>
    <tableColumn id="15" xr3:uid="{D3F7A795-F8A0-4495-9800-00C93EA3BFDC}" name="Salary Band" dataDxfId="3">
      <calculatedColumnFormula>IF(I2&lt;140000, "Low",IF(I2&lt;=200000, "Medium", "High"))</calculatedColumnFormula>
    </tableColumn>
    <tableColumn id="9" xr3:uid="{D5B098C1-0C34-4DF5-9188-8D084A3A8A64}" name="YearsExperience"/>
    <tableColumn id="14" xr3:uid="{2A1746AC-6306-4C1C-BA88-5003D36B63A5}" name=" Experience Level" dataDxfId="4">
      <calculatedColumnFormula>IF(K2&lt;=2, "Beginner", IF(K2&lt;=5, "Intermediate", IF(K2&lt;=10, "Experienced", "Expert")))</calculatedColumnFormula>
    </tableColumn>
    <tableColumn id="10" xr3:uid="{B09B2D56-A6B9-40A3-AA1A-17E61E5091D7}" name="PerformanceRating"/>
    <tableColumn id="11" xr3:uid="{D0FC5CBD-4AA6-46AF-93BB-841551F561E4}" name="State"/>
    <tableColumn id="12" xr3:uid="{591233B3-F285-4BAC-9006-D5FF234A1E3B}" name="HireDate" dataDxfId="6"/>
    <tableColumn id="16" xr3:uid="{6D4FB851-ABA1-4660-8D99-B4D854085C27}" name="Hire Year" dataDxfId="2">
      <calculatedColumnFormula>YEAR(O2)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FAF3-5120-4F7D-B5FF-EE677BBEE6D4}">
  <dimension ref="A3:B9"/>
  <sheetViews>
    <sheetView topLeftCell="AG1" workbookViewId="0">
      <selection activeCell="N3" sqref="N3"/>
    </sheetView>
  </sheetViews>
  <sheetFormatPr defaultRowHeight="14.5" x14ac:dyDescent="0.35"/>
  <cols>
    <col min="1" max="1" width="12.36328125" bestFit="1" customWidth="1"/>
    <col min="2" max="2" width="18.7265625" bestFit="1" customWidth="1"/>
  </cols>
  <sheetData>
    <row r="3" spans="1:2" x14ac:dyDescent="0.35">
      <c r="A3" s="4" t="s">
        <v>66</v>
      </c>
      <c r="B3" t="s">
        <v>68</v>
      </c>
    </row>
    <row r="4" spans="1:2" x14ac:dyDescent="0.35">
      <c r="A4" s="5" t="s">
        <v>15</v>
      </c>
      <c r="B4" s="6">
        <v>24</v>
      </c>
    </row>
    <row r="5" spans="1:2" x14ac:dyDescent="0.35">
      <c r="A5" s="5" t="s">
        <v>21</v>
      </c>
      <c r="B5" s="6">
        <v>22</v>
      </c>
    </row>
    <row r="6" spans="1:2" x14ac:dyDescent="0.35">
      <c r="A6" s="5" t="s">
        <v>44</v>
      </c>
      <c r="B6" s="6">
        <v>19</v>
      </c>
    </row>
    <row r="7" spans="1:2" x14ac:dyDescent="0.35">
      <c r="A7" s="5" t="s">
        <v>30</v>
      </c>
      <c r="B7" s="6">
        <v>19</v>
      </c>
    </row>
    <row r="8" spans="1:2" x14ac:dyDescent="0.35">
      <c r="A8" s="5" t="s">
        <v>34</v>
      </c>
      <c r="B8" s="6">
        <v>16</v>
      </c>
    </row>
    <row r="9" spans="1:2" x14ac:dyDescent="0.35">
      <c r="A9" s="5" t="s">
        <v>67</v>
      </c>
      <c r="B9" s="6">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61ACE-B5A5-4971-A4B2-96FCB797ED3E}">
  <dimension ref="A3:B9"/>
  <sheetViews>
    <sheetView workbookViewId="0">
      <selection activeCell="B4" sqref="B4"/>
    </sheetView>
  </sheetViews>
  <sheetFormatPr defaultRowHeight="14.5" x14ac:dyDescent="0.35"/>
  <cols>
    <col min="1" max="1" width="12.36328125" bestFit="1" customWidth="1"/>
    <col min="2" max="2" width="15.26953125" bestFit="1" customWidth="1"/>
  </cols>
  <sheetData>
    <row r="3" spans="1:2" x14ac:dyDescent="0.35">
      <c r="A3" s="4" t="s">
        <v>66</v>
      </c>
      <c r="B3" t="s">
        <v>69</v>
      </c>
    </row>
    <row r="4" spans="1:2" x14ac:dyDescent="0.35">
      <c r="A4" s="5" t="s">
        <v>21</v>
      </c>
      <c r="B4" s="2">
        <v>546900.96818181814</v>
      </c>
    </row>
    <row r="5" spans="1:2" x14ac:dyDescent="0.35">
      <c r="A5" s="5" t="s">
        <v>30</v>
      </c>
      <c r="B5" s="2">
        <v>531229.1810526317</v>
      </c>
    </row>
    <row r="6" spans="1:2" x14ac:dyDescent="0.35">
      <c r="A6" s="5" t="s">
        <v>44</v>
      </c>
      <c r="B6" s="2">
        <v>523306.1984210526</v>
      </c>
    </row>
    <row r="7" spans="1:2" x14ac:dyDescent="0.35">
      <c r="A7" s="5" t="s">
        <v>15</v>
      </c>
      <c r="B7" s="2">
        <v>476062.97833333345</v>
      </c>
    </row>
    <row r="8" spans="1:2" x14ac:dyDescent="0.35">
      <c r="A8" s="5" t="s">
        <v>34</v>
      </c>
      <c r="B8" s="2">
        <v>445354.87937500014</v>
      </c>
    </row>
    <row r="9" spans="1:2" x14ac:dyDescent="0.35">
      <c r="A9" s="5" t="s">
        <v>67</v>
      </c>
      <c r="B9" s="2">
        <v>506191.83059999987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EBF5-1267-4FFF-AA6F-98D012D56F73}">
  <dimension ref="A3:E10"/>
  <sheetViews>
    <sheetView workbookViewId="0">
      <selection activeCell="H5" sqref="H5"/>
    </sheetView>
  </sheetViews>
  <sheetFormatPr defaultRowHeight="14.5" x14ac:dyDescent="0.35"/>
  <cols>
    <col min="1" max="1" width="18.7265625" bestFit="1" customWidth="1"/>
    <col min="2" max="2" width="15.26953125" bestFit="1" customWidth="1"/>
    <col min="3" max="3" width="8.26953125" bestFit="1" customWidth="1"/>
    <col min="4" max="4" width="5.36328125" bestFit="1" customWidth="1"/>
    <col min="5" max="5" width="10.7265625" bestFit="1" customWidth="1"/>
  </cols>
  <sheetData>
    <row r="3" spans="1:5" x14ac:dyDescent="0.35">
      <c r="A3" s="4" t="s">
        <v>68</v>
      </c>
      <c r="B3" s="4" t="s">
        <v>70</v>
      </c>
    </row>
    <row r="4" spans="1:5" x14ac:dyDescent="0.35">
      <c r="A4" s="4" t="s">
        <v>66</v>
      </c>
      <c r="B4" t="s">
        <v>17</v>
      </c>
      <c r="C4" t="s">
        <v>27</v>
      </c>
      <c r="D4" t="s">
        <v>36</v>
      </c>
      <c r="E4" t="s">
        <v>67</v>
      </c>
    </row>
    <row r="5" spans="1:5" x14ac:dyDescent="0.35">
      <c r="A5" s="5" t="s">
        <v>30</v>
      </c>
      <c r="B5" s="6">
        <v>5</v>
      </c>
      <c r="C5" s="6">
        <v>9</v>
      </c>
      <c r="D5" s="6">
        <v>5</v>
      </c>
      <c r="E5" s="6">
        <v>19</v>
      </c>
    </row>
    <row r="6" spans="1:5" x14ac:dyDescent="0.35">
      <c r="A6" s="5" t="s">
        <v>15</v>
      </c>
      <c r="B6" s="6">
        <v>13</v>
      </c>
      <c r="C6" s="6">
        <v>8</v>
      </c>
      <c r="D6" s="6">
        <v>3</v>
      </c>
      <c r="E6" s="6">
        <v>24</v>
      </c>
    </row>
    <row r="7" spans="1:5" x14ac:dyDescent="0.35">
      <c r="A7" s="5" t="s">
        <v>44</v>
      </c>
      <c r="B7" s="6">
        <v>8</v>
      </c>
      <c r="C7" s="6">
        <v>8</v>
      </c>
      <c r="D7" s="6">
        <v>3</v>
      </c>
      <c r="E7" s="6">
        <v>19</v>
      </c>
    </row>
    <row r="8" spans="1:5" x14ac:dyDescent="0.35">
      <c r="A8" s="5" t="s">
        <v>21</v>
      </c>
      <c r="B8" s="6">
        <v>7</v>
      </c>
      <c r="C8" s="6">
        <v>7</v>
      </c>
      <c r="D8" s="6">
        <v>8</v>
      </c>
      <c r="E8" s="6">
        <v>22</v>
      </c>
    </row>
    <row r="9" spans="1:5" x14ac:dyDescent="0.35">
      <c r="A9" s="5" t="s">
        <v>34</v>
      </c>
      <c r="B9" s="6">
        <v>9</v>
      </c>
      <c r="C9" s="6">
        <v>3</v>
      </c>
      <c r="D9" s="6">
        <v>4</v>
      </c>
      <c r="E9" s="6">
        <v>16</v>
      </c>
    </row>
    <row r="10" spans="1:5" x14ac:dyDescent="0.35">
      <c r="A10" s="5" t="s">
        <v>67</v>
      </c>
      <c r="B10" s="6">
        <v>42</v>
      </c>
      <c r="C10" s="6">
        <v>35</v>
      </c>
      <c r="D10" s="6">
        <v>23</v>
      </c>
      <c r="E10" s="6">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59807-DBA1-40E0-968C-B48337CC4364}">
  <dimension ref="A3:B6"/>
  <sheetViews>
    <sheetView workbookViewId="0">
      <selection activeCell="B5" sqref="B5"/>
    </sheetView>
  </sheetViews>
  <sheetFormatPr defaultRowHeight="14.5" x14ac:dyDescent="0.35"/>
  <cols>
    <col min="1" max="1" width="12.36328125" bestFit="1" customWidth="1"/>
    <col min="2" max="2" width="15.26953125" bestFit="1" customWidth="1"/>
  </cols>
  <sheetData>
    <row r="3" spans="1:2" x14ac:dyDescent="0.35">
      <c r="A3" s="4" t="s">
        <v>66</v>
      </c>
      <c r="B3" t="s">
        <v>69</v>
      </c>
    </row>
    <row r="4" spans="1:2" x14ac:dyDescent="0.35">
      <c r="A4" s="5" t="s">
        <v>38</v>
      </c>
      <c r="B4" s="2">
        <v>534610.26799999981</v>
      </c>
    </row>
    <row r="5" spans="1:2" x14ac:dyDescent="0.35">
      <c r="A5" s="5" t="s">
        <v>14</v>
      </c>
      <c r="B5" s="2">
        <v>490889.5950769232</v>
      </c>
    </row>
    <row r="6" spans="1:2" x14ac:dyDescent="0.35">
      <c r="A6" s="5" t="s">
        <v>67</v>
      </c>
      <c r="B6" s="2">
        <v>506191.83059999987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55C7-30D9-4D56-9DFB-5C4832A09812}">
  <dimension ref="A3:B9"/>
  <sheetViews>
    <sheetView workbookViewId="0">
      <selection activeCell="B5" sqref="B5"/>
    </sheetView>
  </sheetViews>
  <sheetFormatPr defaultRowHeight="14.5" x14ac:dyDescent="0.35"/>
  <cols>
    <col min="1" max="1" width="12.36328125" bestFit="1" customWidth="1"/>
    <col min="2" max="2" width="18.7265625" bestFit="1" customWidth="1"/>
  </cols>
  <sheetData>
    <row r="3" spans="1:2" x14ac:dyDescent="0.35">
      <c r="A3" s="4" t="s">
        <v>66</v>
      </c>
      <c r="B3" t="s">
        <v>68</v>
      </c>
    </row>
    <row r="4" spans="1:2" x14ac:dyDescent="0.35">
      <c r="A4" s="5" t="s">
        <v>39</v>
      </c>
      <c r="B4" s="6">
        <v>24</v>
      </c>
    </row>
    <row r="5" spans="1:2" x14ac:dyDescent="0.35">
      <c r="A5" s="5" t="s">
        <v>23</v>
      </c>
      <c r="B5" s="6">
        <v>22</v>
      </c>
    </row>
    <row r="6" spans="1:2" x14ac:dyDescent="0.35">
      <c r="A6" s="5" t="s">
        <v>18</v>
      </c>
      <c r="B6" s="6">
        <v>21</v>
      </c>
    </row>
    <row r="7" spans="1:2" x14ac:dyDescent="0.35">
      <c r="A7" s="5" t="s">
        <v>32</v>
      </c>
      <c r="B7" s="6">
        <v>19</v>
      </c>
    </row>
    <row r="8" spans="1:2" x14ac:dyDescent="0.35">
      <c r="A8" s="5" t="s">
        <v>48</v>
      </c>
      <c r="B8" s="6">
        <v>14</v>
      </c>
    </row>
    <row r="9" spans="1:2" x14ac:dyDescent="0.35">
      <c r="A9" s="5" t="s">
        <v>67</v>
      </c>
      <c r="B9" s="6">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6983-57FE-4CFD-BBEF-B8DDAE3E7792}">
  <dimension ref="A3:B9"/>
  <sheetViews>
    <sheetView workbookViewId="0">
      <selection activeCell="B6" sqref="B6"/>
    </sheetView>
  </sheetViews>
  <sheetFormatPr defaultRowHeight="14.5" x14ac:dyDescent="0.35"/>
  <cols>
    <col min="1" max="1" width="12.36328125" bestFit="1" customWidth="1"/>
    <col min="2" max="2" width="24.08984375" bestFit="1" customWidth="1"/>
  </cols>
  <sheetData>
    <row r="3" spans="1:2" x14ac:dyDescent="0.35">
      <c r="A3" s="4" t="s">
        <v>66</v>
      </c>
      <c r="B3" t="s">
        <v>71</v>
      </c>
    </row>
    <row r="4" spans="1:2" x14ac:dyDescent="0.35">
      <c r="A4" s="5" t="s">
        <v>44</v>
      </c>
      <c r="B4" s="7">
        <v>11.052631578947368</v>
      </c>
    </row>
    <row r="5" spans="1:2" x14ac:dyDescent="0.35">
      <c r="A5" s="5" t="s">
        <v>30</v>
      </c>
      <c r="B5" s="7">
        <v>10.526315789473685</v>
      </c>
    </row>
    <row r="6" spans="1:2" x14ac:dyDescent="0.35">
      <c r="A6" s="5" t="s">
        <v>34</v>
      </c>
      <c r="B6" s="7">
        <v>11.5625</v>
      </c>
    </row>
    <row r="7" spans="1:2" x14ac:dyDescent="0.35">
      <c r="A7" s="5" t="s">
        <v>21</v>
      </c>
      <c r="B7" s="7">
        <v>9.954545454545455</v>
      </c>
    </row>
    <row r="8" spans="1:2" x14ac:dyDescent="0.35">
      <c r="A8" s="5" t="s">
        <v>15</v>
      </c>
      <c r="B8" s="7">
        <v>9.0833333333333339</v>
      </c>
    </row>
    <row r="9" spans="1:2" x14ac:dyDescent="0.35">
      <c r="A9" s="5" t="s">
        <v>67</v>
      </c>
      <c r="B9" s="7">
        <v>10.32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7340-6735-4F3F-88D7-DF21665B7820}">
  <dimension ref="A3:B14"/>
  <sheetViews>
    <sheetView workbookViewId="0">
      <selection activeCell="B6" sqref="B6"/>
    </sheetView>
  </sheetViews>
  <sheetFormatPr defaultRowHeight="14.5" x14ac:dyDescent="0.35"/>
  <cols>
    <col min="1" max="1" width="15.453125" bestFit="1" customWidth="1"/>
    <col min="2" max="2" width="18.7265625" bestFit="1" customWidth="1"/>
  </cols>
  <sheetData>
    <row r="3" spans="1:2" x14ac:dyDescent="0.35">
      <c r="A3" s="4" t="s">
        <v>66</v>
      </c>
      <c r="B3" t="s">
        <v>68</v>
      </c>
    </row>
    <row r="4" spans="1:2" x14ac:dyDescent="0.35">
      <c r="A4" s="5" t="s">
        <v>16</v>
      </c>
      <c r="B4" s="6">
        <v>13</v>
      </c>
    </row>
    <row r="5" spans="1:2" x14ac:dyDescent="0.35">
      <c r="A5" s="5" t="s">
        <v>22</v>
      </c>
      <c r="B5" s="6">
        <v>13</v>
      </c>
    </row>
    <row r="6" spans="1:2" x14ac:dyDescent="0.35">
      <c r="A6" s="5" t="s">
        <v>35</v>
      </c>
      <c r="B6" s="6">
        <v>11</v>
      </c>
    </row>
    <row r="7" spans="1:2" x14ac:dyDescent="0.35">
      <c r="A7" s="5" t="s">
        <v>57</v>
      </c>
      <c r="B7" s="6">
        <v>11</v>
      </c>
    </row>
    <row r="8" spans="1:2" x14ac:dyDescent="0.35">
      <c r="A8" s="5" t="s">
        <v>47</v>
      </c>
      <c r="B8" s="6">
        <v>10</v>
      </c>
    </row>
    <row r="9" spans="1:2" x14ac:dyDescent="0.35">
      <c r="A9" s="5" t="s">
        <v>54</v>
      </c>
      <c r="B9" s="6">
        <v>10</v>
      </c>
    </row>
    <row r="10" spans="1:2" x14ac:dyDescent="0.35">
      <c r="A10" s="5" t="s">
        <v>26</v>
      </c>
      <c r="B10" s="6">
        <v>9</v>
      </c>
    </row>
    <row r="11" spans="1:2" x14ac:dyDescent="0.35">
      <c r="A11" s="5" t="s">
        <v>45</v>
      </c>
      <c r="B11" s="6">
        <v>9</v>
      </c>
    </row>
    <row r="12" spans="1:2" x14ac:dyDescent="0.35">
      <c r="A12" s="5" t="s">
        <v>31</v>
      </c>
      <c r="B12" s="6">
        <v>9</v>
      </c>
    </row>
    <row r="13" spans="1:2" x14ac:dyDescent="0.35">
      <c r="A13" s="5" t="s">
        <v>53</v>
      </c>
      <c r="B13" s="6">
        <v>5</v>
      </c>
    </row>
    <row r="14" spans="1:2" x14ac:dyDescent="0.35">
      <c r="A14" s="5" t="s">
        <v>67</v>
      </c>
      <c r="B14" s="6">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E0C2-0C6D-4D5B-8B7E-9557F5B2E0FF}">
  <dimension ref="A3:B13"/>
  <sheetViews>
    <sheetView workbookViewId="0">
      <selection activeCell="A4" sqref="A4"/>
    </sheetView>
  </sheetViews>
  <sheetFormatPr defaultRowHeight="14.5" x14ac:dyDescent="0.35"/>
  <cols>
    <col min="1" max="1" width="12.36328125" bestFit="1" customWidth="1"/>
    <col min="2" max="2" width="18.7265625" bestFit="1" customWidth="1"/>
  </cols>
  <sheetData>
    <row r="3" spans="1:2" x14ac:dyDescent="0.35">
      <c r="A3" s="4" t="s">
        <v>66</v>
      </c>
      <c r="B3" t="s">
        <v>68</v>
      </c>
    </row>
    <row r="4" spans="1:2" x14ac:dyDescent="0.35">
      <c r="A4" s="5">
        <v>2018</v>
      </c>
      <c r="B4" s="3">
        <v>13</v>
      </c>
    </row>
    <row r="5" spans="1:2" x14ac:dyDescent="0.35">
      <c r="A5" s="5">
        <v>2019</v>
      </c>
      <c r="B5" s="3">
        <v>11</v>
      </c>
    </row>
    <row r="6" spans="1:2" x14ac:dyDescent="0.35">
      <c r="A6" s="5">
        <v>2020</v>
      </c>
      <c r="B6" s="3">
        <v>17</v>
      </c>
    </row>
    <row r="7" spans="1:2" x14ac:dyDescent="0.35">
      <c r="A7" s="5">
        <v>2021</v>
      </c>
      <c r="B7" s="3">
        <v>12</v>
      </c>
    </row>
    <row r="8" spans="1:2" x14ac:dyDescent="0.35">
      <c r="A8" s="5">
        <v>2022</v>
      </c>
      <c r="B8" s="3">
        <v>11</v>
      </c>
    </row>
    <row r="9" spans="1:2" x14ac:dyDescent="0.35">
      <c r="A9" s="5">
        <v>2023</v>
      </c>
      <c r="B9" s="3">
        <v>7</v>
      </c>
    </row>
    <row r="10" spans="1:2" x14ac:dyDescent="0.35">
      <c r="A10" s="5">
        <v>2024</v>
      </c>
      <c r="B10" s="3">
        <v>19</v>
      </c>
    </row>
    <row r="11" spans="1:2" x14ac:dyDescent="0.35">
      <c r="A11" s="5">
        <v>2025</v>
      </c>
      <c r="B11" s="3">
        <v>8</v>
      </c>
    </row>
    <row r="12" spans="1:2" x14ac:dyDescent="0.35">
      <c r="A12" s="5">
        <v>2026</v>
      </c>
      <c r="B12" s="3">
        <v>2</v>
      </c>
    </row>
    <row r="13" spans="1:2" x14ac:dyDescent="0.35">
      <c r="A13" s="5" t="s">
        <v>67</v>
      </c>
      <c r="B13" s="3">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8A7C-8F50-45C5-BD99-B696C30F74CC}">
  <dimension ref="A3:B9"/>
  <sheetViews>
    <sheetView workbookViewId="0">
      <selection activeCell="B9" sqref="B9"/>
    </sheetView>
  </sheetViews>
  <sheetFormatPr defaultRowHeight="14.5" x14ac:dyDescent="0.35"/>
  <cols>
    <col min="1" max="1" width="12.36328125" bestFit="1" customWidth="1"/>
    <col min="2" max="2" width="13.36328125" bestFit="1" customWidth="1"/>
  </cols>
  <sheetData>
    <row r="3" spans="1:2" x14ac:dyDescent="0.35">
      <c r="A3" s="4" t="s">
        <v>66</v>
      </c>
      <c r="B3" t="s">
        <v>72</v>
      </c>
    </row>
    <row r="4" spans="1:2" x14ac:dyDescent="0.35">
      <c r="A4" s="5" t="s">
        <v>44</v>
      </c>
      <c r="B4" s="7">
        <v>35.473684210526315</v>
      </c>
    </row>
    <row r="5" spans="1:2" x14ac:dyDescent="0.35">
      <c r="A5" s="5" t="s">
        <v>30</v>
      </c>
      <c r="B5" s="7">
        <v>40.631578947368418</v>
      </c>
    </row>
    <row r="6" spans="1:2" x14ac:dyDescent="0.35">
      <c r="A6" s="5" t="s">
        <v>34</v>
      </c>
      <c r="B6" s="7">
        <v>39.875</v>
      </c>
    </row>
    <row r="7" spans="1:2" x14ac:dyDescent="0.35">
      <c r="A7" s="5" t="s">
        <v>21</v>
      </c>
      <c r="B7" s="7">
        <v>37.68181818181818</v>
      </c>
    </row>
    <row r="8" spans="1:2" x14ac:dyDescent="0.35">
      <c r="A8" s="5" t="s">
        <v>15</v>
      </c>
      <c r="B8" s="7">
        <v>41.625</v>
      </c>
    </row>
    <row r="9" spans="1:2" x14ac:dyDescent="0.35">
      <c r="A9" s="5" t="s">
        <v>67</v>
      </c>
      <c r="B9" s="7">
        <v>39.119999999999997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7B92-635D-436F-B52D-1893A396136F}">
  <dimension ref="A3:E7"/>
  <sheetViews>
    <sheetView workbookViewId="0">
      <selection activeCell="F15" sqref="F15"/>
    </sheetView>
  </sheetViews>
  <sheetFormatPr defaultRowHeight="14.5" x14ac:dyDescent="0.35"/>
  <cols>
    <col min="1" max="1" width="18.7265625" bestFit="1" customWidth="1"/>
    <col min="2" max="2" width="15.26953125" bestFit="1" customWidth="1"/>
    <col min="3" max="3" width="8.26953125" bestFit="1" customWidth="1"/>
    <col min="4" max="4" width="5.36328125" bestFit="1" customWidth="1"/>
    <col min="5" max="5" width="10.7265625" bestFit="1" customWidth="1"/>
  </cols>
  <sheetData>
    <row r="3" spans="1:5" x14ac:dyDescent="0.35">
      <c r="A3" s="4" t="s">
        <v>68</v>
      </c>
      <c r="B3" s="4" t="s">
        <v>70</v>
      </c>
    </row>
    <row r="4" spans="1:5" x14ac:dyDescent="0.35">
      <c r="A4" s="4" t="s">
        <v>66</v>
      </c>
      <c r="B4" t="s">
        <v>17</v>
      </c>
      <c r="C4" t="s">
        <v>27</v>
      </c>
      <c r="D4" t="s">
        <v>36</v>
      </c>
      <c r="E4" t="s">
        <v>67</v>
      </c>
    </row>
    <row r="5" spans="1:5" x14ac:dyDescent="0.35">
      <c r="A5" s="5" t="s">
        <v>38</v>
      </c>
      <c r="B5" s="6">
        <v>17</v>
      </c>
      <c r="C5" s="6">
        <v>10</v>
      </c>
      <c r="D5" s="6">
        <v>8</v>
      </c>
      <c r="E5" s="6">
        <v>35</v>
      </c>
    </row>
    <row r="6" spans="1:5" x14ac:dyDescent="0.35">
      <c r="A6" s="5" t="s">
        <v>14</v>
      </c>
      <c r="B6" s="6">
        <v>25</v>
      </c>
      <c r="C6" s="6">
        <v>25</v>
      </c>
      <c r="D6" s="6">
        <v>15</v>
      </c>
      <c r="E6" s="6">
        <v>65</v>
      </c>
    </row>
    <row r="7" spans="1:5" x14ac:dyDescent="0.35">
      <c r="A7" s="5" t="s">
        <v>67</v>
      </c>
      <c r="B7" s="6">
        <v>42</v>
      </c>
      <c r="C7" s="6">
        <v>35</v>
      </c>
      <c r="D7" s="6">
        <v>23</v>
      </c>
      <c r="E7" s="6">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DBB7-BD9C-4F42-A16F-20548B08F159}">
  <dimension ref="A1:S7"/>
  <sheetViews>
    <sheetView showGridLines="0" tabSelected="1" zoomScaleNormal="100" workbookViewId="0">
      <selection activeCell="J14" sqref="J14"/>
    </sheetView>
  </sheetViews>
  <sheetFormatPr defaultRowHeight="14.5" x14ac:dyDescent="0.35"/>
  <cols>
    <col min="5" max="6" width="8.7265625" customWidth="1"/>
  </cols>
  <sheetData>
    <row r="1" spans="1:19" ht="26" x14ac:dyDescent="0.6">
      <c r="A1" s="9" t="s">
        <v>73</v>
      </c>
      <c r="B1" s="9"/>
      <c r="C1" s="9"/>
      <c r="D1" s="9"/>
      <c r="E1" s="9"/>
      <c r="F1" s="9"/>
      <c r="G1" s="9"/>
      <c r="H1" s="9"/>
      <c r="I1" s="9"/>
      <c r="J1" s="9"/>
      <c r="K1" s="9"/>
      <c r="L1" s="9"/>
      <c r="M1" s="9"/>
      <c r="N1" s="9"/>
      <c r="O1" s="9"/>
      <c r="P1" s="9"/>
      <c r="Q1" s="9"/>
      <c r="R1" s="9"/>
      <c r="S1" s="9"/>
    </row>
    <row r="2" spans="1:19" x14ac:dyDescent="0.35">
      <c r="A2" t="s">
        <v>74</v>
      </c>
    </row>
    <row r="4" spans="1:19" x14ac:dyDescent="0.35">
      <c r="A4" s="8"/>
      <c r="B4" s="8"/>
      <c r="C4" s="8"/>
    </row>
    <row r="5" spans="1:19" x14ac:dyDescent="0.35">
      <c r="A5" s="8"/>
      <c r="B5" s="8"/>
      <c r="C5" s="8"/>
    </row>
    <row r="7" spans="1:19" x14ac:dyDescent="0.35">
      <c r="E7" t="s">
        <v>74</v>
      </c>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opLeftCell="A2" workbookViewId="0">
      <selection activeCell="C10" sqref="C10"/>
    </sheetView>
  </sheetViews>
  <sheetFormatPr defaultRowHeight="14.5" x14ac:dyDescent="0.35"/>
  <cols>
    <col min="1" max="1" width="12.81640625" customWidth="1"/>
    <col min="2" max="2" width="11.36328125" customWidth="1"/>
    <col min="3" max="3" width="11.08984375" customWidth="1"/>
    <col min="4" max="4" width="15.1796875" bestFit="1" customWidth="1"/>
    <col min="5" max="5" width="9" customWidth="1"/>
    <col min="7" max="7" width="13.08984375" customWidth="1"/>
    <col min="8" max="8" width="15.453125" bestFit="1" customWidth="1"/>
    <col min="9" max="9" width="10.81640625" bestFit="1" customWidth="1"/>
    <col min="10" max="10" width="12.81640625" bestFit="1" customWidth="1"/>
    <col min="11" max="11" width="16.81640625" bestFit="1" customWidth="1"/>
    <col min="12" max="12" width="19.36328125" bestFit="1" customWidth="1"/>
    <col min="13" max="13" width="11.36328125" customWidth="1"/>
    <col min="14" max="15" width="10.54296875" bestFit="1" customWidth="1"/>
    <col min="16" max="16" width="10.7265625" bestFit="1" customWidth="1"/>
  </cols>
  <sheetData>
    <row r="1" spans="1:16" x14ac:dyDescent="0.35">
      <c r="A1" t="s">
        <v>0</v>
      </c>
      <c r="B1" t="s">
        <v>1</v>
      </c>
      <c r="C1" t="s">
        <v>2</v>
      </c>
      <c r="D1" t="s">
        <v>62</v>
      </c>
      <c r="E1" t="s">
        <v>3</v>
      </c>
      <c r="F1" t="s">
        <v>4</v>
      </c>
      <c r="G1" t="s">
        <v>5</v>
      </c>
      <c r="H1" t="s">
        <v>6</v>
      </c>
      <c r="I1" t="s">
        <v>7</v>
      </c>
      <c r="J1" t="s">
        <v>64</v>
      </c>
      <c r="K1" t="s">
        <v>8</v>
      </c>
      <c r="L1" t="s">
        <v>63</v>
      </c>
      <c r="M1" t="s">
        <v>9</v>
      </c>
      <c r="N1" t="s">
        <v>10</v>
      </c>
      <c r="O1" t="s">
        <v>11</v>
      </c>
      <c r="P1" t="s">
        <v>65</v>
      </c>
    </row>
    <row r="2" spans="1:16" x14ac:dyDescent="0.35">
      <c r="A2">
        <v>1001</v>
      </c>
      <c r="B2" t="s">
        <v>12</v>
      </c>
      <c r="C2" t="s">
        <v>13</v>
      </c>
      <c r="D2" t="str">
        <f t="shared" ref="D2:D33" si="0">B2&amp;" "&amp;C2</f>
        <v>Ibrahim Ali</v>
      </c>
      <c r="E2" t="s">
        <v>14</v>
      </c>
      <c r="F2">
        <v>37</v>
      </c>
      <c r="G2" t="s">
        <v>15</v>
      </c>
      <c r="H2" t="s">
        <v>16</v>
      </c>
      <c r="I2" s="2">
        <v>582360.06000000006</v>
      </c>
      <c r="J2" s="2" t="str">
        <f t="shared" ref="J2:J33" si="1">IF(I2&lt;140000, "Low",IF(I2&lt;=200000, "Medium", "High"))</f>
        <v>High</v>
      </c>
      <c r="K2">
        <v>11</v>
      </c>
      <c r="L2" t="str">
        <f t="shared" ref="L2:L33" si="2">IF(K2&lt;=2, "Beginner", IF(K2&lt;=5, "Intermediate", IF(K2&lt;=10, "Experienced", "Expert")))</f>
        <v>Expert</v>
      </c>
      <c r="M2" t="s">
        <v>17</v>
      </c>
      <c r="N2" t="s">
        <v>18</v>
      </c>
      <c r="O2" s="1">
        <v>45694</v>
      </c>
      <c r="P2">
        <f t="shared" ref="P2:P33" si="3">YEAR(O2)</f>
        <v>2025</v>
      </c>
    </row>
    <row r="3" spans="1:16" x14ac:dyDescent="0.35">
      <c r="A3">
        <v>1002</v>
      </c>
      <c r="B3" t="s">
        <v>19</v>
      </c>
      <c r="C3" t="s">
        <v>20</v>
      </c>
      <c r="D3" t="str">
        <f t="shared" si="0"/>
        <v>Joy Eze</v>
      </c>
      <c r="E3" t="s">
        <v>14</v>
      </c>
      <c r="F3">
        <v>47</v>
      </c>
      <c r="G3" t="s">
        <v>21</v>
      </c>
      <c r="H3" t="s">
        <v>22</v>
      </c>
      <c r="I3" s="2">
        <v>201543.84</v>
      </c>
      <c r="J3" s="2" t="str">
        <f t="shared" si="1"/>
        <v>High</v>
      </c>
      <c r="K3">
        <v>2</v>
      </c>
      <c r="L3" t="str">
        <f t="shared" si="2"/>
        <v>Beginner</v>
      </c>
      <c r="M3" t="s">
        <v>17</v>
      </c>
      <c r="N3" t="s">
        <v>23</v>
      </c>
      <c r="O3" s="1">
        <v>43324</v>
      </c>
      <c r="P3">
        <f t="shared" si="3"/>
        <v>2018</v>
      </c>
    </row>
    <row r="4" spans="1:16" x14ac:dyDescent="0.35">
      <c r="A4">
        <v>1003</v>
      </c>
      <c r="B4" t="s">
        <v>24</v>
      </c>
      <c r="C4" t="s">
        <v>25</v>
      </c>
      <c r="D4" t="str">
        <f t="shared" si="0"/>
        <v>Zainab Umar</v>
      </c>
      <c r="E4" t="s">
        <v>14</v>
      </c>
      <c r="F4">
        <v>36</v>
      </c>
      <c r="G4" t="s">
        <v>21</v>
      </c>
      <c r="H4" t="s">
        <v>26</v>
      </c>
      <c r="I4" s="2">
        <v>455979.82</v>
      </c>
      <c r="J4" s="2" t="str">
        <f t="shared" si="1"/>
        <v>High</v>
      </c>
      <c r="K4">
        <v>14</v>
      </c>
      <c r="L4" t="str">
        <f t="shared" si="2"/>
        <v>Expert</v>
      </c>
      <c r="M4" t="s">
        <v>27</v>
      </c>
      <c r="N4" t="s">
        <v>23</v>
      </c>
      <c r="O4" s="1">
        <v>45623</v>
      </c>
      <c r="P4">
        <f t="shared" si="3"/>
        <v>2024</v>
      </c>
    </row>
    <row r="5" spans="1:16" x14ac:dyDescent="0.35">
      <c r="A5">
        <v>1004</v>
      </c>
      <c r="B5" t="s">
        <v>28</v>
      </c>
      <c r="C5" t="s">
        <v>29</v>
      </c>
      <c r="D5" t="str">
        <f t="shared" si="0"/>
        <v>Aisha Johnson</v>
      </c>
      <c r="E5" t="s">
        <v>14</v>
      </c>
      <c r="F5">
        <v>33</v>
      </c>
      <c r="G5" t="s">
        <v>30</v>
      </c>
      <c r="H5" t="s">
        <v>31</v>
      </c>
      <c r="I5" s="2">
        <v>668376.42000000004</v>
      </c>
      <c r="J5" s="2" t="str">
        <f t="shared" si="1"/>
        <v>High</v>
      </c>
      <c r="K5">
        <v>7</v>
      </c>
      <c r="L5" t="str">
        <f t="shared" si="2"/>
        <v>Experienced</v>
      </c>
      <c r="M5" t="s">
        <v>27</v>
      </c>
      <c r="N5" t="s">
        <v>32</v>
      </c>
      <c r="O5" s="1">
        <v>45079</v>
      </c>
      <c r="P5">
        <f t="shared" si="3"/>
        <v>2023</v>
      </c>
    </row>
    <row r="6" spans="1:16" x14ac:dyDescent="0.35">
      <c r="A6">
        <v>1005</v>
      </c>
      <c r="B6" t="s">
        <v>28</v>
      </c>
      <c r="C6" t="s">
        <v>33</v>
      </c>
      <c r="D6" t="str">
        <f t="shared" si="0"/>
        <v>Aisha Ojo</v>
      </c>
      <c r="E6" t="s">
        <v>14</v>
      </c>
      <c r="F6">
        <v>49</v>
      </c>
      <c r="G6" t="s">
        <v>34</v>
      </c>
      <c r="H6" t="s">
        <v>35</v>
      </c>
      <c r="I6" s="2">
        <v>159402.65</v>
      </c>
      <c r="J6" s="2" t="str">
        <f t="shared" si="1"/>
        <v>Medium</v>
      </c>
      <c r="K6">
        <v>1</v>
      </c>
      <c r="L6" t="str">
        <f t="shared" si="2"/>
        <v>Beginner</v>
      </c>
      <c r="M6" t="s">
        <v>36</v>
      </c>
      <c r="N6" t="s">
        <v>18</v>
      </c>
      <c r="O6" s="1">
        <v>43971</v>
      </c>
      <c r="P6">
        <f t="shared" si="3"/>
        <v>2020</v>
      </c>
    </row>
    <row r="7" spans="1:16" x14ac:dyDescent="0.35">
      <c r="A7">
        <v>1006</v>
      </c>
      <c r="B7" t="s">
        <v>37</v>
      </c>
      <c r="C7" t="s">
        <v>33</v>
      </c>
      <c r="D7" t="str">
        <f t="shared" si="0"/>
        <v>Samuel Ojo</v>
      </c>
      <c r="E7" t="s">
        <v>38</v>
      </c>
      <c r="F7">
        <v>44</v>
      </c>
      <c r="G7" t="s">
        <v>15</v>
      </c>
      <c r="H7" t="s">
        <v>16</v>
      </c>
      <c r="I7" s="2">
        <v>187878.55</v>
      </c>
      <c r="J7" s="2" t="str">
        <f t="shared" si="1"/>
        <v>Medium</v>
      </c>
      <c r="K7">
        <v>6</v>
      </c>
      <c r="L7" t="str">
        <f t="shared" si="2"/>
        <v>Experienced</v>
      </c>
      <c r="M7" t="s">
        <v>27</v>
      </c>
      <c r="N7" t="s">
        <v>39</v>
      </c>
      <c r="O7" s="1">
        <v>44393</v>
      </c>
      <c r="P7">
        <f t="shared" si="3"/>
        <v>2021</v>
      </c>
    </row>
    <row r="8" spans="1:16" x14ac:dyDescent="0.35">
      <c r="A8">
        <v>1007</v>
      </c>
      <c r="B8" t="s">
        <v>40</v>
      </c>
      <c r="C8" t="s">
        <v>41</v>
      </c>
      <c r="D8" t="str">
        <f t="shared" si="0"/>
        <v>David Ahmed</v>
      </c>
      <c r="E8" t="s">
        <v>38</v>
      </c>
      <c r="F8">
        <v>50</v>
      </c>
      <c r="G8" t="s">
        <v>15</v>
      </c>
      <c r="H8" t="s">
        <v>16</v>
      </c>
      <c r="I8" s="2">
        <v>649945.54</v>
      </c>
      <c r="J8" s="2" t="str">
        <f t="shared" si="1"/>
        <v>High</v>
      </c>
      <c r="K8">
        <v>15</v>
      </c>
      <c r="L8" t="str">
        <f t="shared" si="2"/>
        <v>Expert</v>
      </c>
      <c r="M8" t="s">
        <v>17</v>
      </c>
      <c r="N8" t="s">
        <v>32</v>
      </c>
      <c r="O8" s="1">
        <v>45533</v>
      </c>
      <c r="P8">
        <f t="shared" si="3"/>
        <v>2024</v>
      </c>
    </row>
    <row r="9" spans="1:16" x14ac:dyDescent="0.35">
      <c r="A9">
        <v>1008</v>
      </c>
      <c r="B9" t="s">
        <v>12</v>
      </c>
      <c r="C9" t="s">
        <v>29</v>
      </c>
      <c r="D9" t="str">
        <f t="shared" si="0"/>
        <v>Ibrahim Johnson</v>
      </c>
      <c r="E9" t="s">
        <v>14</v>
      </c>
      <c r="F9">
        <v>46</v>
      </c>
      <c r="G9" t="s">
        <v>15</v>
      </c>
      <c r="H9" t="s">
        <v>16</v>
      </c>
      <c r="I9" s="2">
        <v>221438.64</v>
      </c>
      <c r="J9" s="2" t="str">
        <f t="shared" si="1"/>
        <v>High</v>
      </c>
      <c r="K9">
        <v>16</v>
      </c>
      <c r="L9" t="str">
        <f t="shared" si="2"/>
        <v>Expert</v>
      </c>
      <c r="M9" t="s">
        <v>27</v>
      </c>
      <c r="N9" t="s">
        <v>18</v>
      </c>
      <c r="O9" s="1">
        <v>44040</v>
      </c>
      <c r="P9">
        <f t="shared" si="3"/>
        <v>2020</v>
      </c>
    </row>
    <row r="10" spans="1:16" x14ac:dyDescent="0.35">
      <c r="A10">
        <v>1009</v>
      </c>
      <c r="B10" t="s">
        <v>42</v>
      </c>
      <c r="C10" t="s">
        <v>43</v>
      </c>
      <c r="D10" t="str">
        <f t="shared" si="0"/>
        <v>Grace Bello</v>
      </c>
      <c r="E10" t="s">
        <v>14</v>
      </c>
      <c r="F10">
        <v>26</v>
      </c>
      <c r="G10" t="s">
        <v>44</v>
      </c>
      <c r="H10" t="s">
        <v>45</v>
      </c>
      <c r="I10" s="2">
        <v>133882.19</v>
      </c>
      <c r="J10" s="2" t="str">
        <f t="shared" si="1"/>
        <v>Low</v>
      </c>
      <c r="K10">
        <v>8</v>
      </c>
      <c r="L10" t="str">
        <f t="shared" si="2"/>
        <v>Experienced</v>
      </c>
      <c r="M10" t="s">
        <v>27</v>
      </c>
      <c r="N10" t="s">
        <v>18</v>
      </c>
      <c r="O10" s="1">
        <v>43582</v>
      </c>
      <c r="P10">
        <f t="shared" si="3"/>
        <v>2019</v>
      </c>
    </row>
    <row r="11" spans="1:16" x14ac:dyDescent="0.35">
      <c r="A11">
        <v>1010</v>
      </c>
      <c r="B11" t="s">
        <v>46</v>
      </c>
      <c r="C11" t="s">
        <v>13</v>
      </c>
      <c r="D11" t="str">
        <f t="shared" si="0"/>
        <v>Ada Ali</v>
      </c>
      <c r="E11" t="s">
        <v>38</v>
      </c>
      <c r="F11">
        <v>44</v>
      </c>
      <c r="G11" t="s">
        <v>44</v>
      </c>
      <c r="H11" t="s">
        <v>47</v>
      </c>
      <c r="I11" s="2">
        <v>259387.1</v>
      </c>
      <c r="J11" s="2" t="str">
        <f t="shared" si="1"/>
        <v>High</v>
      </c>
      <c r="K11">
        <v>6</v>
      </c>
      <c r="L11" t="str">
        <f t="shared" si="2"/>
        <v>Experienced</v>
      </c>
      <c r="M11" t="s">
        <v>36</v>
      </c>
      <c r="N11" t="s">
        <v>18</v>
      </c>
      <c r="O11" s="1">
        <v>44593</v>
      </c>
      <c r="P11">
        <f t="shared" si="3"/>
        <v>2022</v>
      </c>
    </row>
    <row r="12" spans="1:16" x14ac:dyDescent="0.35">
      <c r="A12">
        <v>1011</v>
      </c>
      <c r="B12" t="s">
        <v>42</v>
      </c>
      <c r="C12" t="s">
        <v>20</v>
      </c>
      <c r="D12" t="str">
        <f t="shared" si="0"/>
        <v>Grace Eze</v>
      </c>
      <c r="E12" t="s">
        <v>14</v>
      </c>
      <c r="F12">
        <v>34</v>
      </c>
      <c r="G12" t="s">
        <v>44</v>
      </c>
      <c r="H12" t="s">
        <v>45</v>
      </c>
      <c r="I12" s="2">
        <v>744073.02</v>
      </c>
      <c r="J12" s="2" t="str">
        <f t="shared" si="1"/>
        <v>High</v>
      </c>
      <c r="K12">
        <v>18</v>
      </c>
      <c r="L12" t="str">
        <f t="shared" si="2"/>
        <v>Expert</v>
      </c>
      <c r="M12" t="s">
        <v>27</v>
      </c>
      <c r="N12" t="s">
        <v>48</v>
      </c>
      <c r="O12" s="1">
        <v>43977</v>
      </c>
      <c r="P12">
        <f t="shared" si="3"/>
        <v>2020</v>
      </c>
    </row>
    <row r="13" spans="1:16" x14ac:dyDescent="0.35">
      <c r="A13">
        <v>1012</v>
      </c>
      <c r="B13" t="s">
        <v>28</v>
      </c>
      <c r="C13" t="s">
        <v>49</v>
      </c>
      <c r="D13" t="str">
        <f t="shared" si="0"/>
        <v>Aisha Aminu</v>
      </c>
      <c r="E13" t="s">
        <v>14</v>
      </c>
      <c r="F13">
        <v>28</v>
      </c>
      <c r="G13" t="s">
        <v>44</v>
      </c>
      <c r="H13" t="s">
        <v>45</v>
      </c>
      <c r="I13" s="2">
        <v>295859.46000000002</v>
      </c>
      <c r="J13" s="2" t="str">
        <f t="shared" si="1"/>
        <v>High</v>
      </c>
      <c r="K13">
        <v>1</v>
      </c>
      <c r="L13" t="str">
        <f t="shared" si="2"/>
        <v>Beginner</v>
      </c>
      <c r="M13" t="s">
        <v>17</v>
      </c>
      <c r="N13" t="s">
        <v>32</v>
      </c>
      <c r="O13" s="1">
        <v>45355</v>
      </c>
      <c r="P13">
        <f t="shared" si="3"/>
        <v>2024</v>
      </c>
    </row>
    <row r="14" spans="1:16" x14ac:dyDescent="0.35">
      <c r="A14">
        <v>1013</v>
      </c>
      <c r="B14" t="s">
        <v>50</v>
      </c>
      <c r="C14" t="s">
        <v>41</v>
      </c>
      <c r="D14" t="str">
        <f t="shared" si="0"/>
        <v>Fatima Ahmed</v>
      </c>
      <c r="E14" t="s">
        <v>14</v>
      </c>
      <c r="F14">
        <v>58</v>
      </c>
      <c r="G14" t="s">
        <v>15</v>
      </c>
      <c r="H14" t="s">
        <v>16</v>
      </c>
      <c r="I14" s="2">
        <v>730620.99</v>
      </c>
      <c r="J14" s="2" t="str">
        <f t="shared" si="1"/>
        <v>High</v>
      </c>
      <c r="K14">
        <v>2</v>
      </c>
      <c r="L14" t="str">
        <f t="shared" si="2"/>
        <v>Beginner</v>
      </c>
      <c r="M14" t="s">
        <v>17</v>
      </c>
      <c r="N14" t="s">
        <v>39</v>
      </c>
      <c r="O14" s="1">
        <v>44144</v>
      </c>
      <c r="P14">
        <f t="shared" si="3"/>
        <v>2020</v>
      </c>
    </row>
    <row r="15" spans="1:16" x14ac:dyDescent="0.35">
      <c r="A15">
        <v>1014</v>
      </c>
      <c r="B15" t="s">
        <v>12</v>
      </c>
      <c r="C15" t="s">
        <v>20</v>
      </c>
      <c r="D15" t="str">
        <f t="shared" si="0"/>
        <v>Ibrahim Eze</v>
      </c>
      <c r="E15" t="s">
        <v>38</v>
      </c>
      <c r="F15">
        <v>27</v>
      </c>
      <c r="G15" t="s">
        <v>44</v>
      </c>
      <c r="H15" t="s">
        <v>47</v>
      </c>
      <c r="I15" s="2">
        <v>566040.74</v>
      </c>
      <c r="J15" s="2" t="str">
        <f t="shared" si="1"/>
        <v>High</v>
      </c>
      <c r="K15">
        <v>7</v>
      </c>
      <c r="L15" t="str">
        <f t="shared" si="2"/>
        <v>Experienced</v>
      </c>
      <c r="M15" t="s">
        <v>17</v>
      </c>
      <c r="N15" t="s">
        <v>23</v>
      </c>
      <c r="O15" s="1">
        <v>46041</v>
      </c>
      <c r="P15">
        <f t="shared" si="3"/>
        <v>2026</v>
      </c>
    </row>
    <row r="16" spans="1:16" x14ac:dyDescent="0.35">
      <c r="A16">
        <v>1015</v>
      </c>
      <c r="B16" t="s">
        <v>51</v>
      </c>
      <c r="C16" t="s">
        <v>25</v>
      </c>
      <c r="D16" t="str">
        <f t="shared" si="0"/>
        <v>Chinedu Umar</v>
      </c>
      <c r="E16" t="s">
        <v>14</v>
      </c>
      <c r="F16">
        <v>33</v>
      </c>
      <c r="G16" t="s">
        <v>30</v>
      </c>
      <c r="H16" t="s">
        <v>31</v>
      </c>
      <c r="I16" s="2">
        <v>611677.02</v>
      </c>
      <c r="J16" s="2" t="str">
        <f t="shared" si="1"/>
        <v>High</v>
      </c>
      <c r="K16">
        <v>3</v>
      </c>
      <c r="L16" t="str">
        <f t="shared" si="2"/>
        <v>Intermediate</v>
      </c>
      <c r="M16" t="s">
        <v>17</v>
      </c>
      <c r="N16" t="s">
        <v>39</v>
      </c>
      <c r="O16" s="1">
        <v>44536</v>
      </c>
      <c r="P16">
        <f t="shared" si="3"/>
        <v>2021</v>
      </c>
    </row>
    <row r="17" spans="1:16" x14ac:dyDescent="0.35">
      <c r="A17">
        <v>1016</v>
      </c>
      <c r="B17" t="s">
        <v>28</v>
      </c>
      <c r="C17" t="s">
        <v>41</v>
      </c>
      <c r="D17" t="str">
        <f t="shared" si="0"/>
        <v>Aisha Ahmed</v>
      </c>
      <c r="E17" t="s">
        <v>38</v>
      </c>
      <c r="F17">
        <v>48</v>
      </c>
      <c r="G17" t="s">
        <v>21</v>
      </c>
      <c r="H17" t="s">
        <v>22</v>
      </c>
      <c r="I17" s="2">
        <v>251655.69</v>
      </c>
      <c r="J17" s="2" t="str">
        <f t="shared" si="1"/>
        <v>High</v>
      </c>
      <c r="K17">
        <v>5</v>
      </c>
      <c r="L17" t="str">
        <f t="shared" si="2"/>
        <v>Intermediate</v>
      </c>
      <c r="M17" t="s">
        <v>17</v>
      </c>
      <c r="N17" t="s">
        <v>18</v>
      </c>
      <c r="O17" s="1">
        <v>45215</v>
      </c>
      <c r="P17">
        <f t="shared" si="3"/>
        <v>2023</v>
      </c>
    </row>
    <row r="18" spans="1:16" x14ac:dyDescent="0.35">
      <c r="A18">
        <v>1017</v>
      </c>
      <c r="B18" t="s">
        <v>12</v>
      </c>
      <c r="C18" t="s">
        <v>52</v>
      </c>
      <c r="D18" t="str">
        <f t="shared" si="0"/>
        <v>Ibrahim Smith</v>
      </c>
      <c r="E18" t="s">
        <v>14</v>
      </c>
      <c r="F18">
        <v>56</v>
      </c>
      <c r="G18" t="s">
        <v>34</v>
      </c>
      <c r="H18" t="s">
        <v>53</v>
      </c>
      <c r="I18" s="2">
        <v>483660.3</v>
      </c>
      <c r="J18" s="2" t="str">
        <f t="shared" si="1"/>
        <v>High</v>
      </c>
      <c r="K18">
        <v>12</v>
      </c>
      <c r="L18" t="str">
        <f t="shared" si="2"/>
        <v>Expert</v>
      </c>
      <c r="M18" t="s">
        <v>27</v>
      </c>
      <c r="N18" t="s">
        <v>18</v>
      </c>
      <c r="O18" s="1">
        <v>45762</v>
      </c>
      <c r="P18">
        <f t="shared" si="3"/>
        <v>2025</v>
      </c>
    </row>
    <row r="19" spans="1:16" x14ac:dyDescent="0.35">
      <c r="A19">
        <v>1018</v>
      </c>
      <c r="B19" t="s">
        <v>24</v>
      </c>
      <c r="C19" t="s">
        <v>41</v>
      </c>
      <c r="D19" t="str">
        <f t="shared" si="0"/>
        <v>Zainab Ahmed</v>
      </c>
      <c r="E19" t="s">
        <v>14</v>
      </c>
      <c r="F19">
        <v>45</v>
      </c>
      <c r="G19" t="s">
        <v>44</v>
      </c>
      <c r="H19" t="s">
        <v>47</v>
      </c>
      <c r="I19" s="2">
        <v>202636.65</v>
      </c>
      <c r="J19" s="2" t="str">
        <f t="shared" si="1"/>
        <v>High</v>
      </c>
      <c r="K19">
        <v>17</v>
      </c>
      <c r="L19" t="str">
        <f t="shared" si="2"/>
        <v>Expert</v>
      </c>
      <c r="M19" t="s">
        <v>27</v>
      </c>
      <c r="N19" t="s">
        <v>18</v>
      </c>
      <c r="O19" s="1">
        <v>45500</v>
      </c>
      <c r="P19">
        <f t="shared" si="3"/>
        <v>2024</v>
      </c>
    </row>
    <row r="20" spans="1:16" x14ac:dyDescent="0.35">
      <c r="A20">
        <v>1019</v>
      </c>
      <c r="B20" t="s">
        <v>19</v>
      </c>
      <c r="C20" t="s">
        <v>43</v>
      </c>
      <c r="D20" t="str">
        <f t="shared" si="0"/>
        <v>Joy Bello</v>
      </c>
      <c r="E20" t="s">
        <v>14</v>
      </c>
      <c r="F20">
        <v>49</v>
      </c>
      <c r="G20" t="s">
        <v>21</v>
      </c>
      <c r="H20" t="s">
        <v>26</v>
      </c>
      <c r="I20" s="2">
        <v>551076.03</v>
      </c>
      <c r="J20" s="2" t="str">
        <f t="shared" si="1"/>
        <v>High</v>
      </c>
      <c r="K20">
        <v>7</v>
      </c>
      <c r="L20" t="str">
        <f t="shared" si="2"/>
        <v>Experienced</v>
      </c>
      <c r="M20" t="s">
        <v>27</v>
      </c>
      <c r="N20" t="s">
        <v>39</v>
      </c>
      <c r="O20" s="1">
        <v>44145</v>
      </c>
      <c r="P20">
        <f t="shared" si="3"/>
        <v>2020</v>
      </c>
    </row>
    <row r="21" spans="1:16" x14ac:dyDescent="0.35">
      <c r="A21">
        <v>1020</v>
      </c>
      <c r="B21" t="s">
        <v>50</v>
      </c>
      <c r="C21" t="s">
        <v>33</v>
      </c>
      <c r="D21" t="str">
        <f t="shared" si="0"/>
        <v>Fatima Ojo</v>
      </c>
      <c r="E21" t="s">
        <v>38</v>
      </c>
      <c r="F21">
        <v>34</v>
      </c>
      <c r="G21" t="s">
        <v>30</v>
      </c>
      <c r="H21" t="s">
        <v>54</v>
      </c>
      <c r="I21" s="2">
        <v>692586.02</v>
      </c>
      <c r="J21" s="2" t="str">
        <f t="shared" si="1"/>
        <v>High</v>
      </c>
      <c r="K21">
        <v>17</v>
      </c>
      <c r="L21" t="str">
        <f t="shared" si="2"/>
        <v>Expert</v>
      </c>
      <c r="M21" t="s">
        <v>17</v>
      </c>
      <c r="N21" t="s">
        <v>18</v>
      </c>
      <c r="O21" s="1">
        <v>43362</v>
      </c>
      <c r="P21">
        <f t="shared" si="3"/>
        <v>2018</v>
      </c>
    </row>
    <row r="22" spans="1:16" x14ac:dyDescent="0.35">
      <c r="A22">
        <v>1021</v>
      </c>
      <c r="B22" t="s">
        <v>51</v>
      </c>
      <c r="C22" t="s">
        <v>49</v>
      </c>
      <c r="D22" t="str">
        <f t="shared" si="0"/>
        <v>Chinedu Aminu</v>
      </c>
      <c r="E22" t="s">
        <v>14</v>
      </c>
      <c r="F22">
        <v>25</v>
      </c>
      <c r="G22" t="s">
        <v>15</v>
      </c>
      <c r="H22" t="s">
        <v>16</v>
      </c>
      <c r="I22" s="2">
        <v>724458.03</v>
      </c>
      <c r="J22" s="2" t="str">
        <f t="shared" si="1"/>
        <v>High</v>
      </c>
      <c r="K22">
        <v>19</v>
      </c>
      <c r="L22" t="str">
        <f t="shared" si="2"/>
        <v>Expert</v>
      </c>
      <c r="M22" t="s">
        <v>36</v>
      </c>
      <c r="N22" t="s">
        <v>39</v>
      </c>
      <c r="O22" s="1">
        <v>43285</v>
      </c>
      <c r="P22">
        <f t="shared" si="3"/>
        <v>2018</v>
      </c>
    </row>
    <row r="23" spans="1:16" x14ac:dyDescent="0.35">
      <c r="A23">
        <v>1022</v>
      </c>
      <c r="B23" t="s">
        <v>55</v>
      </c>
      <c r="C23" t="s">
        <v>20</v>
      </c>
      <c r="D23" t="str">
        <f t="shared" si="0"/>
        <v>Mary Eze</v>
      </c>
      <c r="E23" t="s">
        <v>14</v>
      </c>
      <c r="F23">
        <v>55</v>
      </c>
      <c r="G23" t="s">
        <v>30</v>
      </c>
      <c r="H23" t="s">
        <v>54</v>
      </c>
      <c r="I23" s="2">
        <v>694340.54</v>
      </c>
      <c r="J23" s="2" t="str">
        <f t="shared" si="1"/>
        <v>High</v>
      </c>
      <c r="K23">
        <v>5</v>
      </c>
      <c r="L23" t="str">
        <f t="shared" si="2"/>
        <v>Intermediate</v>
      </c>
      <c r="M23" t="s">
        <v>27</v>
      </c>
      <c r="N23" t="s">
        <v>48</v>
      </c>
      <c r="O23" s="1">
        <v>43984</v>
      </c>
      <c r="P23">
        <f t="shared" si="3"/>
        <v>2020</v>
      </c>
    </row>
    <row r="24" spans="1:16" x14ac:dyDescent="0.35">
      <c r="A24">
        <v>1023</v>
      </c>
      <c r="B24" t="s">
        <v>12</v>
      </c>
      <c r="C24" t="s">
        <v>13</v>
      </c>
      <c r="D24" t="str">
        <f t="shared" si="0"/>
        <v>Ibrahim Ali</v>
      </c>
      <c r="E24" t="s">
        <v>38</v>
      </c>
      <c r="F24">
        <v>35</v>
      </c>
      <c r="G24" t="s">
        <v>21</v>
      </c>
      <c r="H24" t="s">
        <v>22</v>
      </c>
      <c r="I24" s="2">
        <v>695045.79</v>
      </c>
      <c r="J24" s="2" t="str">
        <f t="shared" si="1"/>
        <v>High</v>
      </c>
      <c r="K24">
        <v>4</v>
      </c>
      <c r="L24" t="str">
        <f t="shared" si="2"/>
        <v>Intermediate</v>
      </c>
      <c r="M24" t="s">
        <v>17</v>
      </c>
      <c r="N24" t="s">
        <v>39</v>
      </c>
      <c r="O24" s="1">
        <v>44786</v>
      </c>
      <c r="P24">
        <f t="shared" si="3"/>
        <v>2022</v>
      </c>
    </row>
    <row r="25" spans="1:16" x14ac:dyDescent="0.35">
      <c r="A25">
        <v>1024</v>
      </c>
      <c r="B25" t="s">
        <v>12</v>
      </c>
      <c r="C25" t="s">
        <v>41</v>
      </c>
      <c r="D25" t="str">
        <f t="shared" si="0"/>
        <v>Ibrahim Ahmed</v>
      </c>
      <c r="E25" t="s">
        <v>14</v>
      </c>
      <c r="F25">
        <v>51</v>
      </c>
      <c r="G25" t="s">
        <v>34</v>
      </c>
      <c r="H25" t="s">
        <v>35</v>
      </c>
      <c r="I25" s="2">
        <v>758720.55</v>
      </c>
      <c r="J25" s="2" t="str">
        <f t="shared" si="1"/>
        <v>High</v>
      </c>
      <c r="K25">
        <v>9</v>
      </c>
      <c r="L25" t="str">
        <f t="shared" si="2"/>
        <v>Experienced</v>
      </c>
      <c r="M25" t="s">
        <v>17</v>
      </c>
      <c r="N25" t="s">
        <v>39</v>
      </c>
      <c r="O25" s="1">
        <v>43208</v>
      </c>
      <c r="P25">
        <f t="shared" si="3"/>
        <v>2018</v>
      </c>
    </row>
    <row r="26" spans="1:16" x14ac:dyDescent="0.35">
      <c r="A26">
        <v>1025</v>
      </c>
      <c r="B26" t="s">
        <v>56</v>
      </c>
      <c r="C26" t="s">
        <v>43</v>
      </c>
      <c r="D26" t="str">
        <f t="shared" si="0"/>
        <v>John Bello</v>
      </c>
      <c r="E26" t="s">
        <v>14</v>
      </c>
      <c r="F26">
        <v>26</v>
      </c>
      <c r="G26" t="s">
        <v>15</v>
      </c>
      <c r="H26" t="s">
        <v>16</v>
      </c>
      <c r="I26" s="2">
        <v>338207.34</v>
      </c>
      <c r="J26" s="2" t="str">
        <f t="shared" si="1"/>
        <v>High</v>
      </c>
      <c r="K26">
        <v>8</v>
      </c>
      <c r="L26" t="str">
        <f t="shared" si="2"/>
        <v>Experienced</v>
      </c>
      <c r="M26" t="s">
        <v>17</v>
      </c>
      <c r="N26" t="s">
        <v>23</v>
      </c>
      <c r="O26" s="1">
        <v>44005</v>
      </c>
      <c r="P26">
        <f t="shared" si="3"/>
        <v>2020</v>
      </c>
    </row>
    <row r="27" spans="1:16" x14ac:dyDescent="0.35">
      <c r="A27">
        <v>1026</v>
      </c>
      <c r="B27" t="s">
        <v>55</v>
      </c>
      <c r="C27" t="s">
        <v>29</v>
      </c>
      <c r="D27" t="str">
        <f t="shared" si="0"/>
        <v>Mary Johnson</v>
      </c>
      <c r="E27" t="s">
        <v>38</v>
      </c>
      <c r="F27">
        <v>51</v>
      </c>
      <c r="G27" t="s">
        <v>15</v>
      </c>
      <c r="H27" t="s">
        <v>57</v>
      </c>
      <c r="I27" s="2">
        <v>555380.73</v>
      </c>
      <c r="J27" s="2" t="str">
        <f t="shared" si="1"/>
        <v>High</v>
      </c>
      <c r="K27">
        <v>13</v>
      </c>
      <c r="L27" t="str">
        <f t="shared" si="2"/>
        <v>Expert</v>
      </c>
      <c r="M27" t="s">
        <v>17</v>
      </c>
      <c r="N27" t="s">
        <v>18</v>
      </c>
      <c r="O27" s="1">
        <v>43466</v>
      </c>
      <c r="P27">
        <f t="shared" si="3"/>
        <v>2019</v>
      </c>
    </row>
    <row r="28" spans="1:16" x14ac:dyDescent="0.35">
      <c r="A28">
        <v>1027</v>
      </c>
      <c r="B28" t="s">
        <v>51</v>
      </c>
      <c r="C28" t="s">
        <v>13</v>
      </c>
      <c r="D28" t="str">
        <f t="shared" si="0"/>
        <v>Chinedu Ali</v>
      </c>
      <c r="E28" t="s">
        <v>38</v>
      </c>
      <c r="F28">
        <v>57</v>
      </c>
      <c r="G28" t="s">
        <v>30</v>
      </c>
      <c r="H28" t="s">
        <v>31</v>
      </c>
      <c r="I28" s="2">
        <v>752595.66</v>
      </c>
      <c r="J28" s="2" t="str">
        <f t="shared" si="1"/>
        <v>High</v>
      </c>
      <c r="K28">
        <v>18</v>
      </c>
      <c r="L28" t="str">
        <f t="shared" si="2"/>
        <v>Expert</v>
      </c>
      <c r="M28" t="s">
        <v>36</v>
      </c>
      <c r="N28" t="s">
        <v>48</v>
      </c>
      <c r="O28" s="1">
        <v>44136</v>
      </c>
      <c r="P28">
        <f t="shared" si="3"/>
        <v>2020</v>
      </c>
    </row>
    <row r="29" spans="1:16" x14ac:dyDescent="0.35">
      <c r="A29">
        <v>1028</v>
      </c>
      <c r="B29" t="s">
        <v>51</v>
      </c>
      <c r="C29" t="s">
        <v>29</v>
      </c>
      <c r="D29" t="str">
        <f t="shared" si="0"/>
        <v>Chinedu Johnson</v>
      </c>
      <c r="E29" t="s">
        <v>14</v>
      </c>
      <c r="F29">
        <v>43</v>
      </c>
      <c r="G29" t="s">
        <v>44</v>
      </c>
      <c r="H29" t="s">
        <v>47</v>
      </c>
      <c r="I29" s="2">
        <v>664902.98</v>
      </c>
      <c r="J29" s="2" t="str">
        <f t="shared" si="1"/>
        <v>High</v>
      </c>
      <c r="K29">
        <v>10</v>
      </c>
      <c r="L29" t="str">
        <f t="shared" si="2"/>
        <v>Experienced</v>
      </c>
      <c r="M29" t="s">
        <v>17</v>
      </c>
      <c r="N29" t="s">
        <v>48</v>
      </c>
      <c r="O29" s="1">
        <v>45406</v>
      </c>
      <c r="P29">
        <f t="shared" si="3"/>
        <v>2024</v>
      </c>
    </row>
    <row r="30" spans="1:16" x14ac:dyDescent="0.35">
      <c r="A30">
        <v>1029</v>
      </c>
      <c r="B30" t="s">
        <v>51</v>
      </c>
      <c r="C30" t="s">
        <v>52</v>
      </c>
      <c r="D30" t="str">
        <f t="shared" si="0"/>
        <v>Chinedu Smith</v>
      </c>
      <c r="E30" t="s">
        <v>14</v>
      </c>
      <c r="F30">
        <v>33</v>
      </c>
      <c r="G30" t="s">
        <v>30</v>
      </c>
      <c r="H30" t="s">
        <v>31</v>
      </c>
      <c r="I30" s="2">
        <v>131036.91</v>
      </c>
      <c r="J30" s="2" t="str">
        <f t="shared" si="1"/>
        <v>Low</v>
      </c>
      <c r="K30">
        <v>2</v>
      </c>
      <c r="L30" t="str">
        <f t="shared" si="2"/>
        <v>Beginner</v>
      </c>
      <c r="M30" t="s">
        <v>17</v>
      </c>
      <c r="N30" t="s">
        <v>39</v>
      </c>
      <c r="O30" s="1">
        <v>45695</v>
      </c>
      <c r="P30">
        <f t="shared" si="3"/>
        <v>2025</v>
      </c>
    </row>
    <row r="31" spans="1:16" x14ac:dyDescent="0.35">
      <c r="A31">
        <v>1030</v>
      </c>
      <c r="B31" t="s">
        <v>51</v>
      </c>
      <c r="C31" t="s">
        <v>25</v>
      </c>
      <c r="D31" t="str">
        <f t="shared" si="0"/>
        <v>Chinedu Umar</v>
      </c>
      <c r="E31" t="s">
        <v>14</v>
      </c>
      <c r="F31">
        <v>43</v>
      </c>
      <c r="G31" t="s">
        <v>44</v>
      </c>
      <c r="H31" t="s">
        <v>47</v>
      </c>
      <c r="I31" s="2">
        <v>741538.4</v>
      </c>
      <c r="J31" s="2" t="str">
        <f t="shared" si="1"/>
        <v>High</v>
      </c>
      <c r="K31">
        <v>8</v>
      </c>
      <c r="L31" t="str">
        <f t="shared" si="2"/>
        <v>Experienced</v>
      </c>
      <c r="M31" t="s">
        <v>27</v>
      </c>
      <c r="N31" t="s">
        <v>39</v>
      </c>
      <c r="O31" s="1">
        <v>44481</v>
      </c>
      <c r="P31">
        <f t="shared" si="3"/>
        <v>2021</v>
      </c>
    </row>
    <row r="32" spans="1:16" x14ac:dyDescent="0.35">
      <c r="A32">
        <v>1031</v>
      </c>
      <c r="B32" t="s">
        <v>37</v>
      </c>
      <c r="C32" t="s">
        <v>41</v>
      </c>
      <c r="D32" t="str">
        <f t="shared" si="0"/>
        <v>Samuel Ahmed</v>
      </c>
      <c r="E32" t="s">
        <v>14</v>
      </c>
      <c r="F32">
        <v>35</v>
      </c>
      <c r="G32" t="s">
        <v>34</v>
      </c>
      <c r="H32" t="s">
        <v>35</v>
      </c>
      <c r="I32" s="2">
        <v>373356.34</v>
      </c>
      <c r="J32" s="2" t="str">
        <f t="shared" si="1"/>
        <v>High</v>
      </c>
      <c r="K32">
        <v>7</v>
      </c>
      <c r="L32" t="str">
        <f t="shared" si="2"/>
        <v>Experienced</v>
      </c>
      <c r="M32" t="s">
        <v>36</v>
      </c>
      <c r="N32" t="s">
        <v>48</v>
      </c>
      <c r="O32" s="1">
        <v>43638</v>
      </c>
      <c r="P32">
        <f t="shared" si="3"/>
        <v>2019</v>
      </c>
    </row>
    <row r="33" spans="1:16" x14ac:dyDescent="0.35">
      <c r="A33">
        <v>1032</v>
      </c>
      <c r="B33" t="s">
        <v>37</v>
      </c>
      <c r="C33" t="s">
        <v>49</v>
      </c>
      <c r="D33" t="str">
        <f t="shared" si="0"/>
        <v>Samuel Aminu</v>
      </c>
      <c r="E33" t="s">
        <v>14</v>
      </c>
      <c r="F33">
        <v>30</v>
      </c>
      <c r="G33" t="s">
        <v>21</v>
      </c>
      <c r="H33" t="s">
        <v>22</v>
      </c>
      <c r="I33" s="2">
        <v>432707.72</v>
      </c>
      <c r="J33" s="2" t="str">
        <f t="shared" si="1"/>
        <v>High</v>
      </c>
      <c r="K33">
        <v>10</v>
      </c>
      <c r="L33" t="str">
        <f t="shared" si="2"/>
        <v>Experienced</v>
      </c>
      <c r="M33" t="s">
        <v>27</v>
      </c>
      <c r="N33" t="s">
        <v>23</v>
      </c>
      <c r="O33" s="1">
        <v>45441</v>
      </c>
      <c r="P33">
        <f t="shared" si="3"/>
        <v>2024</v>
      </c>
    </row>
    <row r="34" spans="1:16" x14ac:dyDescent="0.35">
      <c r="A34">
        <v>1033</v>
      </c>
      <c r="B34" t="s">
        <v>12</v>
      </c>
      <c r="C34" t="s">
        <v>13</v>
      </c>
      <c r="D34" t="str">
        <f t="shared" ref="D34:D65" si="4">B34&amp;" "&amp;C34</f>
        <v>Ibrahim Ali</v>
      </c>
      <c r="E34" t="s">
        <v>38</v>
      </c>
      <c r="F34">
        <v>31</v>
      </c>
      <c r="G34" t="s">
        <v>34</v>
      </c>
      <c r="H34" t="s">
        <v>53</v>
      </c>
      <c r="I34" s="2">
        <v>616421.31000000006</v>
      </c>
      <c r="J34" s="2" t="str">
        <f t="shared" ref="J34:J65" si="5">IF(I34&lt;140000, "Low",IF(I34&lt;=200000, "Medium", "High"))</f>
        <v>High</v>
      </c>
      <c r="K34">
        <v>3</v>
      </c>
      <c r="L34" t="str">
        <f t="shared" ref="L34:L65" si="6">IF(K34&lt;=2, "Beginner", IF(K34&lt;=5, "Intermediate", IF(K34&lt;=10, "Experienced", "Expert")))</f>
        <v>Intermediate</v>
      </c>
      <c r="M34" t="s">
        <v>17</v>
      </c>
      <c r="N34" t="s">
        <v>18</v>
      </c>
      <c r="O34" s="1">
        <v>44444</v>
      </c>
      <c r="P34">
        <f t="shared" ref="P34:P65" si="7">YEAR(O34)</f>
        <v>2021</v>
      </c>
    </row>
    <row r="35" spans="1:16" x14ac:dyDescent="0.35">
      <c r="A35">
        <v>1034</v>
      </c>
      <c r="B35" t="s">
        <v>19</v>
      </c>
      <c r="C35" t="s">
        <v>33</v>
      </c>
      <c r="D35" t="str">
        <f t="shared" si="4"/>
        <v>Joy Ojo</v>
      </c>
      <c r="E35" t="s">
        <v>38</v>
      </c>
      <c r="F35">
        <v>48</v>
      </c>
      <c r="G35" t="s">
        <v>44</v>
      </c>
      <c r="H35" t="s">
        <v>47</v>
      </c>
      <c r="I35" s="2">
        <v>819643.78</v>
      </c>
      <c r="J35" s="2" t="str">
        <f t="shared" si="5"/>
        <v>High</v>
      </c>
      <c r="K35">
        <v>9</v>
      </c>
      <c r="L35" t="str">
        <f t="shared" si="6"/>
        <v>Experienced</v>
      </c>
      <c r="M35" t="s">
        <v>17</v>
      </c>
      <c r="N35" t="s">
        <v>18</v>
      </c>
      <c r="O35" s="1">
        <v>45348</v>
      </c>
      <c r="P35">
        <f t="shared" si="7"/>
        <v>2024</v>
      </c>
    </row>
    <row r="36" spans="1:16" x14ac:dyDescent="0.35">
      <c r="A36">
        <v>1035</v>
      </c>
      <c r="B36" t="s">
        <v>37</v>
      </c>
      <c r="C36" t="s">
        <v>33</v>
      </c>
      <c r="D36" t="str">
        <f t="shared" si="4"/>
        <v>Samuel Ojo</v>
      </c>
      <c r="E36" t="s">
        <v>14</v>
      </c>
      <c r="F36">
        <v>26</v>
      </c>
      <c r="G36" t="s">
        <v>21</v>
      </c>
      <c r="H36" t="s">
        <v>26</v>
      </c>
      <c r="I36" s="2">
        <v>530747.05000000005</v>
      </c>
      <c r="J36" s="2" t="str">
        <f t="shared" si="5"/>
        <v>High</v>
      </c>
      <c r="K36">
        <v>9</v>
      </c>
      <c r="L36" t="str">
        <f t="shared" si="6"/>
        <v>Experienced</v>
      </c>
      <c r="M36" t="s">
        <v>17</v>
      </c>
      <c r="N36" t="s">
        <v>23</v>
      </c>
      <c r="O36" s="1">
        <v>45546</v>
      </c>
      <c r="P36">
        <f t="shared" si="7"/>
        <v>2024</v>
      </c>
    </row>
    <row r="37" spans="1:16" x14ac:dyDescent="0.35">
      <c r="A37">
        <v>1036</v>
      </c>
      <c r="B37" t="s">
        <v>58</v>
      </c>
      <c r="C37" t="s">
        <v>43</v>
      </c>
      <c r="D37" t="str">
        <f t="shared" si="4"/>
        <v>Emeka Bello</v>
      </c>
      <c r="E37" t="s">
        <v>38</v>
      </c>
      <c r="F37">
        <v>22</v>
      </c>
      <c r="G37" t="s">
        <v>21</v>
      </c>
      <c r="H37" t="s">
        <v>22</v>
      </c>
      <c r="I37" s="2">
        <v>615188.16</v>
      </c>
      <c r="J37" s="2" t="str">
        <f t="shared" si="5"/>
        <v>High</v>
      </c>
      <c r="K37">
        <v>15</v>
      </c>
      <c r="L37" t="str">
        <f t="shared" si="6"/>
        <v>Expert</v>
      </c>
      <c r="M37" t="s">
        <v>27</v>
      </c>
      <c r="N37" t="s">
        <v>23</v>
      </c>
      <c r="O37" s="1">
        <v>44645</v>
      </c>
      <c r="P37">
        <f t="shared" si="7"/>
        <v>2022</v>
      </c>
    </row>
    <row r="38" spans="1:16" x14ac:dyDescent="0.35">
      <c r="A38">
        <v>1037</v>
      </c>
      <c r="B38" t="s">
        <v>59</v>
      </c>
      <c r="C38" t="s">
        <v>52</v>
      </c>
      <c r="D38" t="str">
        <f t="shared" si="4"/>
        <v>Blessing Smith</v>
      </c>
      <c r="E38" t="s">
        <v>14</v>
      </c>
      <c r="F38">
        <v>25</v>
      </c>
      <c r="G38" t="s">
        <v>21</v>
      </c>
      <c r="H38" t="s">
        <v>26</v>
      </c>
      <c r="I38" s="2">
        <v>449903.37</v>
      </c>
      <c r="J38" s="2" t="str">
        <f t="shared" si="5"/>
        <v>High</v>
      </c>
      <c r="K38">
        <v>14</v>
      </c>
      <c r="L38" t="str">
        <f t="shared" si="6"/>
        <v>Expert</v>
      </c>
      <c r="M38" t="s">
        <v>17</v>
      </c>
      <c r="N38" t="s">
        <v>39</v>
      </c>
      <c r="O38" s="1">
        <v>44905</v>
      </c>
      <c r="P38">
        <f t="shared" si="7"/>
        <v>2022</v>
      </c>
    </row>
    <row r="39" spans="1:16" x14ac:dyDescent="0.35">
      <c r="A39">
        <v>1038</v>
      </c>
      <c r="B39" t="s">
        <v>60</v>
      </c>
      <c r="C39" t="s">
        <v>49</v>
      </c>
      <c r="D39" t="str">
        <f t="shared" si="4"/>
        <v>Musa Aminu</v>
      </c>
      <c r="E39" t="s">
        <v>38</v>
      </c>
      <c r="F39">
        <v>39</v>
      </c>
      <c r="G39" t="s">
        <v>34</v>
      </c>
      <c r="H39" t="s">
        <v>53</v>
      </c>
      <c r="I39" s="2">
        <v>471782.16</v>
      </c>
      <c r="J39" s="2" t="str">
        <f t="shared" si="5"/>
        <v>High</v>
      </c>
      <c r="K39">
        <v>17</v>
      </c>
      <c r="L39" t="str">
        <f t="shared" si="6"/>
        <v>Expert</v>
      </c>
      <c r="M39" t="s">
        <v>27</v>
      </c>
      <c r="N39" t="s">
        <v>39</v>
      </c>
      <c r="O39" s="1">
        <v>44931</v>
      </c>
      <c r="P39">
        <f t="shared" si="7"/>
        <v>2023</v>
      </c>
    </row>
    <row r="40" spans="1:16" x14ac:dyDescent="0.35">
      <c r="A40">
        <v>1039</v>
      </c>
      <c r="B40" t="s">
        <v>46</v>
      </c>
      <c r="C40" t="s">
        <v>41</v>
      </c>
      <c r="D40" t="str">
        <f t="shared" si="4"/>
        <v>Ada Ahmed</v>
      </c>
      <c r="E40" t="s">
        <v>38</v>
      </c>
      <c r="F40">
        <v>32</v>
      </c>
      <c r="G40" t="s">
        <v>44</v>
      </c>
      <c r="H40" t="s">
        <v>47</v>
      </c>
      <c r="I40" s="2">
        <v>830542.88</v>
      </c>
      <c r="J40" s="2" t="str">
        <f t="shared" si="5"/>
        <v>High</v>
      </c>
      <c r="K40">
        <v>7</v>
      </c>
      <c r="L40" t="str">
        <f t="shared" si="6"/>
        <v>Experienced</v>
      </c>
      <c r="M40" t="s">
        <v>36</v>
      </c>
      <c r="N40" t="s">
        <v>32</v>
      </c>
      <c r="O40" s="1">
        <v>43676</v>
      </c>
      <c r="P40">
        <f t="shared" si="7"/>
        <v>2019</v>
      </c>
    </row>
    <row r="41" spans="1:16" x14ac:dyDescent="0.35">
      <c r="A41">
        <v>1040</v>
      </c>
      <c r="B41" t="s">
        <v>40</v>
      </c>
      <c r="C41" t="s">
        <v>29</v>
      </c>
      <c r="D41" t="str">
        <f t="shared" si="4"/>
        <v>David Johnson</v>
      </c>
      <c r="E41" t="s">
        <v>14</v>
      </c>
      <c r="F41">
        <v>52</v>
      </c>
      <c r="G41" t="s">
        <v>34</v>
      </c>
      <c r="H41" t="s">
        <v>35</v>
      </c>
      <c r="I41" s="2">
        <v>207026.63</v>
      </c>
      <c r="J41" s="2" t="str">
        <f t="shared" si="5"/>
        <v>High</v>
      </c>
      <c r="K41">
        <v>18</v>
      </c>
      <c r="L41" t="str">
        <f t="shared" si="6"/>
        <v>Expert</v>
      </c>
      <c r="M41" t="s">
        <v>17</v>
      </c>
      <c r="N41" t="s">
        <v>48</v>
      </c>
      <c r="O41" s="1">
        <v>44768</v>
      </c>
      <c r="P41">
        <f t="shared" si="7"/>
        <v>2022</v>
      </c>
    </row>
    <row r="42" spans="1:16" x14ac:dyDescent="0.35">
      <c r="A42">
        <v>1041</v>
      </c>
      <c r="B42" t="s">
        <v>60</v>
      </c>
      <c r="C42" t="s">
        <v>49</v>
      </c>
      <c r="D42" t="str">
        <f t="shared" si="4"/>
        <v>Musa Aminu</v>
      </c>
      <c r="E42" t="s">
        <v>14</v>
      </c>
      <c r="F42">
        <v>47</v>
      </c>
      <c r="G42" t="s">
        <v>15</v>
      </c>
      <c r="H42" t="s">
        <v>16</v>
      </c>
      <c r="I42" s="2">
        <v>263299.39</v>
      </c>
      <c r="J42" s="2" t="str">
        <f t="shared" si="5"/>
        <v>High</v>
      </c>
      <c r="K42">
        <v>1</v>
      </c>
      <c r="L42" t="str">
        <f t="shared" si="6"/>
        <v>Beginner</v>
      </c>
      <c r="M42" t="s">
        <v>36</v>
      </c>
      <c r="N42" t="s">
        <v>39</v>
      </c>
      <c r="O42" s="1">
        <v>43449</v>
      </c>
      <c r="P42">
        <f t="shared" si="7"/>
        <v>2018</v>
      </c>
    </row>
    <row r="43" spans="1:16" x14ac:dyDescent="0.35">
      <c r="A43">
        <v>1042</v>
      </c>
      <c r="B43" t="s">
        <v>24</v>
      </c>
      <c r="C43" t="s">
        <v>41</v>
      </c>
      <c r="D43" t="str">
        <f t="shared" si="4"/>
        <v>Zainab Ahmed</v>
      </c>
      <c r="E43" t="s">
        <v>38</v>
      </c>
      <c r="F43">
        <v>45</v>
      </c>
      <c r="G43" t="s">
        <v>15</v>
      </c>
      <c r="H43" t="s">
        <v>57</v>
      </c>
      <c r="I43" s="2">
        <v>175147.57</v>
      </c>
      <c r="J43" s="2" t="str">
        <f t="shared" si="5"/>
        <v>Medium</v>
      </c>
      <c r="K43">
        <v>6</v>
      </c>
      <c r="L43" t="str">
        <f t="shared" si="6"/>
        <v>Experienced</v>
      </c>
      <c r="M43" t="s">
        <v>27</v>
      </c>
      <c r="N43" t="s">
        <v>39</v>
      </c>
      <c r="O43" s="1">
        <v>43486</v>
      </c>
      <c r="P43">
        <f t="shared" si="7"/>
        <v>2019</v>
      </c>
    </row>
    <row r="44" spans="1:16" x14ac:dyDescent="0.35">
      <c r="A44">
        <v>1043</v>
      </c>
      <c r="B44" t="s">
        <v>46</v>
      </c>
      <c r="C44" t="s">
        <v>43</v>
      </c>
      <c r="D44" t="str">
        <f t="shared" si="4"/>
        <v>Ada Bello</v>
      </c>
      <c r="E44" t="s">
        <v>38</v>
      </c>
      <c r="F44">
        <v>29</v>
      </c>
      <c r="G44" t="s">
        <v>30</v>
      </c>
      <c r="H44" t="s">
        <v>54</v>
      </c>
      <c r="I44" s="2">
        <v>407522.53</v>
      </c>
      <c r="J44" s="2" t="str">
        <f t="shared" si="5"/>
        <v>High</v>
      </c>
      <c r="K44">
        <v>6</v>
      </c>
      <c r="L44" t="str">
        <f t="shared" si="6"/>
        <v>Experienced</v>
      </c>
      <c r="M44" t="s">
        <v>17</v>
      </c>
      <c r="N44" t="s">
        <v>23</v>
      </c>
      <c r="O44" s="1">
        <v>45783</v>
      </c>
      <c r="P44">
        <f t="shared" si="7"/>
        <v>2025</v>
      </c>
    </row>
    <row r="45" spans="1:16" x14ac:dyDescent="0.35">
      <c r="A45">
        <v>1044</v>
      </c>
      <c r="B45" t="s">
        <v>60</v>
      </c>
      <c r="C45" t="s">
        <v>61</v>
      </c>
      <c r="D45" t="str">
        <f t="shared" si="4"/>
        <v>Musa Okafor</v>
      </c>
      <c r="E45" t="s">
        <v>38</v>
      </c>
      <c r="F45">
        <v>23</v>
      </c>
      <c r="G45" t="s">
        <v>15</v>
      </c>
      <c r="H45" t="s">
        <v>57</v>
      </c>
      <c r="I45" s="2">
        <v>760198.45</v>
      </c>
      <c r="J45" s="2" t="str">
        <f t="shared" si="5"/>
        <v>High</v>
      </c>
      <c r="K45">
        <v>11</v>
      </c>
      <c r="L45" t="str">
        <f t="shared" si="6"/>
        <v>Expert</v>
      </c>
      <c r="M45" t="s">
        <v>17</v>
      </c>
      <c r="N45" t="s">
        <v>18</v>
      </c>
      <c r="O45" s="1">
        <v>45859</v>
      </c>
      <c r="P45">
        <f t="shared" si="7"/>
        <v>2025</v>
      </c>
    </row>
    <row r="46" spans="1:16" x14ac:dyDescent="0.35">
      <c r="A46">
        <v>1045</v>
      </c>
      <c r="B46" t="s">
        <v>58</v>
      </c>
      <c r="C46" t="s">
        <v>49</v>
      </c>
      <c r="D46" t="str">
        <f t="shared" si="4"/>
        <v>Emeka Aminu</v>
      </c>
      <c r="E46" t="s">
        <v>14</v>
      </c>
      <c r="F46">
        <v>38</v>
      </c>
      <c r="G46" t="s">
        <v>34</v>
      </c>
      <c r="H46" t="s">
        <v>35</v>
      </c>
      <c r="I46" s="2">
        <v>273424.65000000002</v>
      </c>
      <c r="J46" s="2" t="str">
        <f t="shared" si="5"/>
        <v>High</v>
      </c>
      <c r="K46">
        <v>18</v>
      </c>
      <c r="L46" t="str">
        <f t="shared" si="6"/>
        <v>Expert</v>
      </c>
      <c r="M46" t="s">
        <v>36</v>
      </c>
      <c r="N46" t="s">
        <v>32</v>
      </c>
      <c r="O46" s="1">
        <v>45912</v>
      </c>
      <c r="P46">
        <f t="shared" si="7"/>
        <v>2025</v>
      </c>
    </row>
    <row r="47" spans="1:16" x14ac:dyDescent="0.35">
      <c r="A47">
        <v>1046</v>
      </c>
      <c r="B47" t="s">
        <v>56</v>
      </c>
      <c r="C47" t="s">
        <v>49</v>
      </c>
      <c r="D47" t="str">
        <f t="shared" si="4"/>
        <v>John Aminu</v>
      </c>
      <c r="E47" t="s">
        <v>14</v>
      </c>
      <c r="F47">
        <v>42</v>
      </c>
      <c r="G47" t="s">
        <v>30</v>
      </c>
      <c r="H47" t="s">
        <v>54</v>
      </c>
      <c r="I47" s="2">
        <v>483876.37</v>
      </c>
      <c r="J47" s="2" t="str">
        <f t="shared" si="5"/>
        <v>High</v>
      </c>
      <c r="K47">
        <v>15</v>
      </c>
      <c r="L47" t="str">
        <f t="shared" si="6"/>
        <v>Expert</v>
      </c>
      <c r="M47" t="s">
        <v>27</v>
      </c>
      <c r="N47" t="s">
        <v>32</v>
      </c>
      <c r="O47" s="1">
        <v>45650</v>
      </c>
      <c r="P47">
        <f t="shared" si="7"/>
        <v>2024</v>
      </c>
    </row>
    <row r="48" spans="1:16" x14ac:dyDescent="0.35">
      <c r="A48">
        <v>1047</v>
      </c>
      <c r="B48" t="s">
        <v>40</v>
      </c>
      <c r="C48" t="s">
        <v>33</v>
      </c>
      <c r="D48" t="str">
        <f t="shared" si="4"/>
        <v>David Ojo</v>
      </c>
      <c r="E48" t="s">
        <v>38</v>
      </c>
      <c r="F48">
        <v>53</v>
      </c>
      <c r="G48" t="s">
        <v>34</v>
      </c>
      <c r="H48" t="s">
        <v>35</v>
      </c>
      <c r="I48" s="2">
        <v>482868.72</v>
      </c>
      <c r="J48" s="2" t="str">
        <f t="shared" si="5"/>
        <v>High</v>
      </c>
      <c r="K48">
        <v>11</v>
      </c>
      <c r="L48" t="str">
        <f t="shared" si="6"/>
        <v>Expert</v>
      </c>
      <c r="M48" t="s">
        <v>27</v>
      </c>
      <c r="N48" t="s">
        <v>23</v>
      </c>
      <c r="O48" s="1">
        <v>43640</v>
      </c>
      <c r="P48">
        <f t="shared" si="7"/>
        <v>2019</v>
      </c>
    </row>
    <row r="49" spans="1:16" x14ac:dyDescent="0.35">
      <c r="A49">
        <v>1048</v>
      </c>
      <c r="B49" t="s">
        <v>51</v>
      </c>
      <c r="C49" t="s">
        <v>33</v>
      </c>
      <c r="D49" t="str">
        <f t="shared" si="4"/>
        <v>Chinedu Ojo</v>
      </c>
      <c r="E49" t="s">
        <v>38</v>
      </c>
      <c r="F49">
        <v>30</v>
      </c>
      <c r="G49" t="s">
        <v>21</v>
      </c>
      <c r="H49" t="s">
        <v>22</v>
      </c>
      <c r="I49" s="2">
        <v>714732.94</v>
      </c>
      <c r="J49" s="2" t="str">
        <f t="shared" si="5"/>
        <v>High</v>
      </c>
      <c r="K49">
        <v>3</v>
      </c>
      <c r="L49" t="str">
        <f t="shared" si="6"/>
        <v>Intermediate</v>
      </c>
      <c r="M49" t="s">
        <v>36</v>
      </c>
      <c r="N49" t="s">
        <v>39</v>
      </c>
      <c r="O49" s="1">
        <v>44843</v>
      </c>
      <c r="P49">
        <f t="shared" si="7"/>
        <v>2022</v>
      </c>
    </row>
    <row r="50" spans="1:16" x14ac:dyDescent="0.35">
      <c r="A50">
        <v>1049</v>
      </c>
      <c r="B50" t="s">
        <v>59</v>
      </c>
      <c r="C50" t="s">
        <v>25</v>
      </c>
      <c r="D50" t="str">
        <f t="shared" si="4"/>
        <v>Blessing Umar</v>
      </c>
      <c r="E50" t="s">
        <v>14</v>
      </c>
      <c r="F50">
        <v>25</v>
      </c>
      <c r="G50" t="s">
        <v>44</v>
      </c>
      <c r="H50" t="s">
        <v>47</v>
      </c>
      <c r="I50" s="2">
        <v>380091.31</v>
      </c>
      <c r="J50" s="2" t="str">
        <f t="shared" si="5"/>
        <v>High</v>
      </c>
      <c r="K50">
        <v>13</v>
      </c>
      <c r="L50" t="str">
        <f t="shared" si="6"/>
        <v>Expert</v>
      </c>
      <c r="M50" t="s">
        <v>17</v>
      </c>
      <c r="N50" t="s">
        <v>23</v>
      </c>
      <c r="O50" s="1">
        <v>43376</v>
      </c>
      <c r="P50">
        <f t="shared" si="7"/>
        <v>2018</v>
      </c>
    </row>
    <row r="51" spans="1:16" x14ac:dyDescent="0.35">
      <c r="A51">
        <v>1050</v>
      </c>
      <c r="B51" t="s">
        <v>46</v>
      </c>
      <c r="C51" t="s">
        <v>29</v>
      </c>
      <c r="D51" t="str">
        <f t="shared" si="4"/>
        <v>Ada Johnson</v>
      </c>
      <c r="E51" t="s">
        <v>14</v>
      </c>
      <c r="F51">
        <v>57</v>
      </c>
      <c r="G51" t="s">
        <v>15</v>
      </c>
      <c r="H51" t="s">
        <v>16</v>
      </c>
      <c r="I51" s="2">
        <v>845134.91</v>
      </c>
      <c r="J51" s="2" t="str">
        <f t="shared" si="5"/>
        <v>High</v>
      </c>
      <c r="K51">
        <v>16</v>
      </c>
      <c r="L51" t="str">
        <f t="shared" si="6"/>
        <v>Expert</v>
      </c>
      <c r="M51" t="s">
        <v>17</v>
      </c>
      <c r="N51" t="s">
        <v>48</v>
      </c>
      <c r="O51" s="1">
        <v>45815</v>
      </c>
      <c r="P51">
        <f t="shared" si="7"/>
        <v>2025</v>
      </c>
    </row>
    <row r="52" spans="1:16" x14ac:dyDescent="0.35">
      <c r="A52">
        <v>1051</v>
      </c>
      <c r="B52" t="s">
        <v>24</v>
      </c>
      <c r="C52" t="s">
        <v>33</v>
      </c>
      <c r="D52" t="str">
        <f t="shared" si="4"/>
        <v>Zainab Ojo</v>
      </c>
      <c r="E52" t="s">
        <v>14</v>
      </c>
      <c r="F52">
        <v>47</v>
      </c>
      <c r="G52" t="s">
        <v>34</v>
      </c>
      <c r="H52" t="s">
        <v>35</v>
      </c>
      <c r="I52" s="2">
        <v>424854.98</v>
      </c>
      <c r="J52" s="2" t="str">
        <f t="shared" si="5"/>
        <v>High</v>
      </c>
      <c r="K52">
        <v>17</v>
      </c>
      <c r="L52" t="str">
        <f t="shared" si="6"/>
        <v>Expert</v>
      </c>
      <c r="M52" t="s">
        <v>17</v>
      </c>
      <c r="N52" t="s">
        <v>32</v>
      </c>
      <c r="O52" s="1">
        <v>45484</v>
      </c>
      <c r="P52">
        <f t="shared" si="7"/>
        <v>2024</v>
      </c>
    </row>
    <row r="53" spans="1:16" x14ac:dyDescent="0.35">
      <c r="A53">
        <v>1052</v>
      </c>
      <c r="B53" t="s">
        <v>59</v>
      </c>
      <c r="C53" t="s">
        <v>29</v>
      </c>
      <c r="D53" t="str">
        <f t="shared" si="4"/>
        <v>Blessing Johnson</v>
      </c>
      <c r="E53" t="s">
        <v>38</v>
      </c>
      <c r="F53">
        <v>23</v>
      </c>
      <c r="G53" t="s">
        <v>21</v>
      </c>
      <c r="H53" t="s">
        <v>22</v>
      </c>
      <c r="I53" s="2">
        <v>804444.75</v>
      </c>
      <c r="J53" s="2" t="str">
        <f t="shared" si="5"/>
        <v>High</v>
      </c>
      <c r="K53">
        <v>5</v>
      </c>
      <c r="L53" t="str">
        <f t="shared" si="6"/>
        <v>Intermediate</v>
      </c>
      <c r="M53" t="s">
        <v>17</v>
      </c>
      <c r="N53" t="s">
        <v>48</v>
      </c>
      <c r="O53" s="1">
        <v>45730</v>
      </c>
      <c r="P53">
        <f t="shared" si="7"/>
        <v>2025</v>
      </c>
    </row>
    <row r="54" spans="1:16" x14ac:dyDescent="0.35">
      <c r="A54">
        <v>1053</v>
      </c>
      <c r="B54" t="s">
        <v>28</v>
      </c>
      <c r="C54" t="s">
        <v>49</v>
      </c>
      <c r="D54" t="str">
        <f t="shared" si="4"/>
        <v>Aisha Aminu</v>
      </c>
      <c r="E54" t="s">
        <v>14</v>
      </c>
      <c r="F54">
        <v>48</v>
      </c>
      <c r="G54" t="s">
        <v>21</v>
      </c>
      <c r="H54" t="s">
        <v>26</v>
      </c>
      <c r="I54" s="2">
        <v>843748.72</v>
      </c>
      <c r="J54" s="2" t="str">
        <f t="shared" si="5"/>
        <v>High</v>
      </c>
      <c r="K54">
        <v>10</v>
      </c>
      <c r="L54" t="str">
        <f t="shared" si="6"/>
        <v>Experienced</v>
      </c>
      <c r="M54" t="s">
        <v>27</v>
      </c>
      <c r="N54" t="s">
        <v>39</v>
      </c>
      <c r="O54" s="1">
        <v>45074</v>
      </c>
      <c r="P54">
        <f t="shared" si="7"/>
        <v>2023</v>
      </c>
    </row>
    <row r="55" spans="1:16" x14ac:dyDescent="0.35">
      <c r="A55">
        <v>1054</v>
      </c>
      <c r="B55" t="s">
        <v>51</v>
      </c>
      <c r="C55" t="s">
        <v>61</v>
      </c>
      <c r="D55" t="str">
        <f t="shared" si="4"/>
        <v>Chinedu Okafor</v>
      </c>
      <c r="E55" t="s">
        <v>14</v>
      </c>
      <c r="F55">
        <v>35</v>
      </c>
      <c r="G55" t="s">
        <v>15</v>
      </c>
      <c r="H55" t="s">
        <v>16</v>
      </c>
      <c r="I55" s="2">
        <v>561474.21</v>
      </c>
      <c r="J55" s="2" t="str">
        <f t="shared" si="5"/>
        <v>High</v>
      </c>
      <c r="K55">
        <v>1</v>
      </c>
      <c r="L55" t="str">
        <f t="shared" si="6"/>
        <v>Beginner</v>
      </c>
      <c r="M55" t="s">
        <v>17</v>
      </c>
      <c r="N55" t="s">
        <v>48</v>
      </c>
      <c r="O55" s="1">
        <v>43120</v>
      </c>
      <c r="P55">
        <f t="shared" si="7"/>
        <v>2018</v>
      </c>
    </row>
    <row r="56" spans="1:16" x14ac:dyDescent="0.35">
      <c r="A56">
        <v>1055</v>
      </c>
      <c r="B56" t="s">
        <v>24</v>
      </c>
      <c r="C56" t="s">
        <v>29</v>
      </c>
      <c r="D56" t="str">
        <f t="shared" si="4"/>
        <v>Zainab Johnson</v>
      </c>
      <c r="E56" t="s">
        <v>14</v>
      </c>
      <c r="F56">
        <v>58</v>
      </c>
      <c r="G56" t="s">
        <v>21</v>
      </c>
      <c r="H56" t="s">
        <v>26</v>
      </c>
      <c r="I56" s="2">
        <v>844182.36</v>
      </c>
      <c r="J56" s="2" t="str">
        <f t="shared" si="5"/>
        <v>High</v>
      </c>
      <c r="K56">
        <v>3</v>
      </c>
      <c r="L56" t="str">
        <f t="shared" si="6"/>
        <v>Intermediate</v>
      </c>
      <c r="M56" t="s">
        <v>27</v>
      </c>
      <c r="N56" t="s">
        <v>23</v>
      </c>
      <c r="O56" s="1">
        <v>44622</v>
      </c>
      <c r="P56">
        <f t="shared" si="7"/>
        <v>2022</v>
      </c>
    </row>
    <row r="57" spans="1:16" x14ac:dyDescent="0.35">
      <c r="A57">
        <v>1056</v>
      </c>
      <c r="B57" t="s">
        <v>56</v>
      </c>
      <c r="C57" t="s">
        <v>41</v>
      </c>
      <c r="D57" t="str">
        <f t="shared" si="4"/>
        <v>John Ahmed</v>
      </c>
      <c r="E57" t="s">
        <v>14</v>
      </c>
      <c r="F57">
        <v>48</v>
      </c>
      <c r="G57" t="s">
        <v>15</v>
      </c>
      <c r="H57" t="s">
        <v>57</v>
      </c>
      <c r="I57" s="2">
        <v>179978.7</v>
      </c>
      <c r="J57" s="2" t="str">
        <f t="shared" si="5"/>
        <v>Medium</v>
      </c>
      <c r="K57">
        <v>14</v>
      </c>
      <c r="L57" t="str">
        <f t="shared" si="6"/>
        <v>Expert</v>
      </c>
      <c r="M57" t="s">
        <v>17</v>
      </c>
      <c r="N57" t="s">
        <v>18</v>
      </c>
      <c r="O57" s="1">
        <v>45138</v>
      </c>
      <c r="P57">
        <f t="shared" si="7"/>
        <v>2023</v>
      </c>
    </row>
    <row r="58" spans="1:16" x14ac:dyDescent="0.35">
      <c r="A58">
        <v>1057</v>
      </c>
      <c r="B58" t="s">
        <v>56</v>
      </c>
      <c r="C58" t="s">
        <v>61</v>
      </c>
      <c r="D58" t="str">
        <f t="shared" si="4"/>
        <v>John Okafor</v>
      </c>
      <c r="E58" t="s">
        <v>14</v>
      </c>
      <c r="F58">
        <v>32</v>
      </c>
      <c r="G58" t="s">
        <v>44</v>
      </c>
      <c r="H58" t="s">
        <v>45</v>
      </c>
      <c r="I58" s="2">
        <v>459558.71</v>
      </c>
      <c r="J58" s="2" t="str">
        <f t="shared" si="5"/>
        <v>High</v>
      </c>
      <c r="K58">
        <v>14</v>
      </c>
      <c r="L58" t="str">
        <f t="shared" si="6"/>
        <v>Expert</v>
      </c>
      <c r="M58" t="s">
        <v>17</v>
      </c>
      <c r="N58" t="s">
        <v>39</v>
      </c>
      <c r="O58" s="1">
        <v>43236</v>
      </c>
      <c r="P58">
        <f t="shared" si="7"/>
        <v>2018</v>
      </c>
    </row>
    <row r="59" spans="1:16" x14ac:dyDescent="0.35">
      <c r="A59">
        <v>1058</v>
      </c>
      <c r="B59" t="s">
        <v>40</v>
      </c>
      <c r="C59" t="s">
        <v>25</v>
      </c>
      <c r="D59" t="str">
        <f t="shared" si="4"/>
        <v>David Umar</v>
      </c>
      <c r="E59" t="s">
        <v>14</v>
      </c>
      <c r="F59">
        <v>28</v>
      </c>
      <c r="G59" t="s">
        <v>21</v>
      </c>
      <c r="H59" t="s">
        <v>26</v>
      </c>
      <c r="I59" s="2">
        <v>744731.71</v>
      </c>
      <c r="J59" s="2" t="str">
        <f t="shared" si="5"/>
        <v>High</v>
      </c>
      <c r="K59">
        <v>2</v>
      </c>
      <c r="L59" t="str">
        <f t="shared" si="6"/>
        <v>Beginner</v>
      </c>
      <c r="M59" t="s">
        <v>36</v>
      </c>
      <c r="N59" t="s">
        <v>32</v>
      </c>
      <c r="O59" s="1">
        <v>44007</v>
      </c>
      <c r="P59">
        <f t="shared" si="7"/>
        <v>2020</v>
      </c>
    </row>
    <row r="60" spans="1:16" x14ac:dyDescent="0.35">
      <c r="A60">
        <v>1059</v>
      </c>
      <c r="B60" t="s">
        <v>24</v>
      </c>
      <c r="C60" t="s">
        <v>52</v>
      </c>
      <c r="D60" t="str">
        <f t="shared" si="4"/>
        <v>Zainab Smith</v>
      </c>
      <c r="E60" t="s">
        <v>38</v>
      </c>
      <c r="F60">
        <v>39</v>
      </c>
      <c r="G60" t="s">
        <v>21</v>
      </c>
      <c r="H60" t="s">
        <v>26</v>
      </c>
      <c r="I60" s="2">
        <v>567527.39</v>
      </c>
      <c r="J60" s="2" t="str">
        <f t="shared" si="5"/>
        <v>High</v>
      </c>
      <c r="K60">
        <v>18</v>
      </c>
      <c r="L60" t="str">
        <f t="shared" si="6"/>
        <v>Expert</v>
      </c>
      <c r="M60" t="s">
        <v>36</v>
      </c>
      <c r="N60" t="s">
        <v>48</v>
      </c>
      <c r="O60" s="1">
        <v>43654</v>
      </c>
      <c r="P60">
        <f t="shared" si="7"/>
        <v>2019</v>
      </c>
    </row>
    <row r="61" spans="1:16" x14ac:dyDescent="0.35">
      <c r="A61">
        <v>1060</v>
      </c>
      <c r="B61" t="s">
        <v>58</v>
      </c>
      <c r="C61" t="s">
        <v>33</v>
      </c>
      <c r="D61" t="str">
        <f t="shared" si="4"/>
        <v>Emeka Ojo</v>
      </c>
      <c r="E61" t="s">
        <v>14</v>
      </c>
      <c r="F61">
        <v>28</v>
      </c>
      <c r="G61" t="s">
        <v>34</v>
      </c>
      <c r="H61" t="s">
        <v>35</v>
      </c>
      <c r="I61" s="2">
        <v>277703.86</v>
      </c>
      <c r="J61" s="2" t="str">
        <f t="shared" si="5"/>
        <v>High</v>
      </c>
      <c r="K61">
        <v>6</v>
      </c>
      <c r="L61" t="str">
        <f t="shared" si="6"/>
        <v>Experienced</v>
      </c>
      <c r="M61" t="s">
        <v>17</v>
      </c>
      <c r="N61" t="s">
        <v>23</v>
      </c>
      <c r="O61" s="1">
        <v>45448</v>
      </c>
      <c r="P61">
        <f t="shared" si="7"/>
        <v>2024</v>
      </c>
    </row>
    <row r="62" spans="1:16" x14ac:dyDescent="0.35">
      <c r="A62">
        <v>1061</v>
      </c>
      <c r="B62" t="s">
        <v>60</v>
      </c>
      <c r="C62" t="s">
        <v>49</v>
      </c>
      <c r="D62" t="str">
        <f t="shared" si="4"/>
        <v>Musa Aminu</v>
      </c>
      <c r="E62" t="s">
        <v>38</v>
      </c>
      <c r="F62">
        <v>24</v>
      </c>
      <c r="G62" t="s">
        <v>30</v>
      </c>
      <c r="H62" t="s">
        <v>31</v>
      </c>
      <c r="I62" s="2">
        <v>394946.04</v>
      </c>
      <c r="J62" s="2" t="str">
        <f t="shared" si="5"/>
        <v>High</v>
      </c>
      <c r="K62">
        <v>9</v>
      </c>
      <c r="L62" t="str">
        <f t="shared" si="6"/>
        <v>Experienced</v>
      </c>
      <c r="M62" t="s">
        <v>17</v>
      </c>
      <c r="N62" t="s">
        <v>48</v>
      </c>
      <c r="O62" s="1">
        <v>43959</v>
      </c>
      <c r="P62">
        <f t="shared" si="7"/>
        <v>2020</v>
      </c>
    </row>
    <row r="63" spans="1:16" x14ac:dyDescent="0.35">
      <c r="A63">
        <v>1062</v>
      </c>
      <c r="B63" t="s">
        <v>60</v>
      </c>
      <c r="C63" t="s">
        <v>13</v>
      </c>
      <c r="D63" t="str">
        <f t="shared" si="4"/>
        <v>Musa Ali</v>
      </c>
      <c r="E63" t="s">
        <v>14</v>
      </c>
      <c r="F63">
        <v>25</v>
      </c>
      <c r="G63" t="s">
        <v>34</v>
      </c>
      <c r="H63" t="s">
        <v>35</v>
      </c>
      <c r="I63" s="2">
        <v>720422.40000000002</v>
      </c>
      <c r="J63" s="2" t="str">
        <f t="shared" si="5"/>
        <v>High</v>
      </c>
      <c r="K63">
        <v>20</v>
      </c>
      <c r="L63" t="str">
        <f t="shared" si="6"/>
        <v>Expert</v>
      </c>
      <c r="M63" t="s">
        <v>36</v>
      </c>
      <c r="N63" t="s">
        <v>32</v>
      </c>
      <c r="O63" s="1">
        <v>45262</v>
      </c>
      <c r="P63">
        <f t="shared" si="7"/>
        <v>2023</v>
      </c>
    </row>
    <row r="64" spans="1:16" x14ac:dyDescent="0.35">
      <c r="A64">
        <v>1063</v>
      </c>
      <c r="B64" t="s">
        <v>56</v>
      </c>
      <c r="C64" t="s">
        <v>25</v>
      </c>
      <c r="D64" t="str">
        <f t="shared" si="4"/>
        <v>John Umar</v>
      </c>
      <c r="E64" t="s">
        <v>14</v>
      </c>
      <c r="F64">
        <v>33</v>
      </c>
      <c r="G64" t="s">
        <v>34</v>
      </c>
      <c r="H64" t="s">
        <v>53</v>
      </c>
      <c r="I64" s="2">
        <v>455746.1</v>
      </c>
      <c r="J64" s="2" t="str">
        <f t="shared" si="5"/>
        <v>High</v>
      </c>
      <c r="K64">
        <v>11</v>
      </c>
      <c r="L64" t="str">
        <f t="shared" si="6"/>
        <v>Expert</v>
      </c>
      <c r="M64" t="s">
        <v>17</v>
      </c>
      <c r="N64" t="s">
        <v>39</v>
      </c>
      <c r="O64" s="1">
        <v>45600</v>
      </c>
      <c r="P64">
        <f t="shared" si="7"/>
        <v>2024</v>
      </c>
    </row>
    <row r="65" spans="1:16" x14ac:dyDescent="0.35">
      <c r="A65">
        <v>1064</v>
      </c>
      <c r="B65" t="s">
        <v>59</v>
      </c>
      <c r="C65" t="s">
        <v>49</v>
      </c>
      <c r="D65" t="str">
        <f t="shared" si="4"/>
        <v>Blessing Aminu</v>
      </c>
      <c r="E65" t="s">
        <v>14</v>
      </c>
      <c r="F65">
        <v>40</v>
      </c>
      <c r="G65" t="s">
        <v>21</v>
      </c>
      <c r="H65" t="s">
        <v>22</v>
      </c>
      <c r="I65" s="2">
        <v>454538.94</v>
      </c>
      <c r="J65" s="2" t="str">
        <f t="shared" si="5"/>
        <v>High</v>
      </c>
      <c r="K65">
        <v>19</v>
      </c>
      <c r="L65" t="str">
        <f t="shared" si="6"/>
        <v>Expert</v>
      </c>
      <c r="M65" t="s">
        <v>36</v>
      </c>
      <c r="N65" t="s">
        <v>23</v>
      </c>
      <c r="O65" s="1">
        <v>45378</v>
      </c>
      <c r="P65">
        <f t="shared" si="7"/>
        <v>2024</v>
      </c>
    </row>
    <row r="66" spans="1:16" x14ac:dyDescent="0.35">
      <c r="A66">
        <v>1065</v>
      </c>
      <c r="B66" t="s">
        <v>40</v>
      </c>
      <c r="C66" t="s">
        <v>29</v>
      </c>
      <c r="D66" t="str">
        <f t="shared" ref="D66:D97" si="8">B66&amp;" "&amp;C66</f>
        <v>David Johnson</v>
      </c>
      <c r="E66" t="s">
        <v>14</v>
      </c>
      <c r="F66">
        <v>42</v>
      </c>
      <c r="G66" t="s">
        <v>44</v>
      </c>
      <c r="H66" t="s">
        <v>47</v>
      </c>
      <c r="I66" s="2">
        <v>830778.59</v>
      </c>
      <c r="J66" s="2" t="str">
        <f t="shared" ref="J66:J97" si="9">IF(I66&lt;140000, "Low",IF(I66&lt;=200000, "Medium", "High"))</f>
        <v>High</v>
      </c>
      <c r="K66">
        <v>11</v>
      </c>
      <c r="L66" t="str">
        <f t="shared" ref="L66:L97" si="10">IF(K66&lt;=2, "Beginner", IF(K66&lt;=5, "Intermediate", IF(K66&lt;=10, "Experienced", "Expert")))</f>
        <v>Expert</v>
      </c>
      <c r="M66" t="s">
        <v>27</v>
      </c>
      <c r="N66" t="s">
        <v>18</v>
      </c>
      <c r="O66" s="1">
        <v>43641</v>
      </c>
      <c r="P66">
        <f t="shared" ref="P66:P97" si="11">YEAR(O66)</f>
        <v>2019</v>
      </c>
    </row>
    <row r="67" spans="1:16" x14ac:dyDescent="0.35">
      <c r="A67">
        <v>1066</v>
      </c>
      <c r="B67" t="s">
        <v>60</v>
      </c>
      <c r="C67" t="s">
        <v>49</v>
      </c>
      <c r="D67" t="str">
        <f t="shared" si="8"/>
        <v>Musa Aminu</v>
      </c>
      <c r="E67" t="s">
        <v>14</v>
      </c>
      <c r="F67">
        <v>25</v>
      </c>
      <c r="G67" t="s">
        <v>44</v>
      </c>
      <c r="H67" t="s">
        <v>47</v>
      </c>
      <c r="I67" s="2">
        <v>521251.65</v>
      </c>
      <c r="J67" s="2" t="str">
        <f t="shared" si="9"/>
        <v>High</v>
      </c>
      <c r="K67">
        <v>12</v>
      </c>
      <c r="L67" t="str">
        <f t="shared" si="10"/>
        <v>Expert</v>
      </c>
      <c r="M67" t="s">
        <v>27</v>
      </c>
      <c r="N67" t="s">
        <v>32</v>
      </c>
      <c r="O67" s="1">
        <v>43149</v>
      </c>
      <c r="P67">
        <f t="shared" si="11"/>
        <v>2018</v>
      </c>
    </row>
    <row r="68" spans="1:16" x14ac:dyDescent="0.35">
      <c r="A68">
        <v>1067</v>
      </c>
      <c r="B68" t="s">
        <v>50</v>
      </c>
      <c r="C68" t="s">
        <v>41</v>
      </c>
      <c r="D68" t="str">
        <f t="shared" si="8"/>
        <v>Fatima Ahmed</v>
      </c>
      <c r="E68" t="s">
        <v>14</v>
      </c>
      <c r="F68">
        <v>24</v>
      </c>
      <c r="G68" t="s">
        <v>21</v>
      </c>
      <c r="H68" t="s">
        <v>22</v>
      </c>
      <c r="I68" s="2">
        <v>509335.17</v>
      </c>
      <c r="J68" s="2" t="str">
        <f t="shared" si="9"/>
        <v>High</v>
      </c>
      <c r="K68">
        <v>6</v>
      </c>
      <c r="L68" t="str">
        <f t="shared" si="10"/>
        <v>Experienced</v>
      </c>
      <c r="M68" t="s">
        <v>27</v>
      </c>
      <c r="N68" t="s">
        <v>23</v>
      </c>
      <c r="O68" s="1">
        <v>43962</v>
      </c>
      <c r="P68">
        <f t="shared" si="11"/>
        <v>2020</v>
      </c>
    </row>
    <row r="69" spans="1:16" x14ac:dyDescent="0.35">
      <c r="A69">
        <v>1068</v>
      </c>
      <c r="B69" t="s">
        <v>50</v>
      </c>
      <c r="C69" t="s">
        <v>43</v>
      </c>
      <c r="D69" t="str">
        <f t="shared" si="8"/>
        <v>Fatima Bello</v>
      </c>
      <c r="E69" t="s">
        <v>14</v>
      </c>
      <c r="F69">
        <v>42</v>
      </c>
      <c r="G69" t="s">
        <v>30</v>
      </c>
      <c r="H69" t="s">
        <v>31</v>
      </c>
      <c r="I69" s="2">
        <v>232948.73</v>
      </c>
      <c r="J69" s="2" t="str">
        <f t="shared" si="9"/>
        <v>High</v>
      </c>
      <c r="K69">
        <v>13</v>
      </c>
      <c r="L69" t="str">
        <f t="shared" si="10"/>
        <v>Expert</v>
      </c>
      <c r="M69" t="s">
        <v>36</v>
      </c>
      <c r="N69" t="s">
        <v>18</v>
      </c>
      <c r="O69" s="1">
        <v>44327</v>
      </c>
      <c r="P69">
        <f t="shared" si="11"/>
        <v>2021</v>
      </c>
    </row>
    <row r="70" spans="1:16" x14ac:dyDescent="0.35">
      <c r="A70">
        <v>1069</v>
      </c>
      <c r="B70" t="s">
        <v>46</v>
      </c>
      <c r="C70" t="s">
        <v>49</v>
      </c>
      <c r="D70" t="str">
        <f t="shared" si="8"/>
        <v>Ada Aminu</v>
      </c>
      <c r="E70" t="s">
        <v>38</v>
      </c>
      <c r="F70">
        <v>30</v>
      </c>
      <c r="G70" t="s">
        <v>15</v>
      </c>
      <c r="H70" t="s">
        <v>57</v>
      </c>
      <c r="I70" s="2">
        <v>580545.09</v>
      </c>
      <c r="J70" s="2" t="str">
        <f t="shared" si="9"/>
        <v>High</v>
      </c>
      <c r="K70">
        <v>5</v>
      </c>
      <c r="L70" t="str">
        <f t="shared" si="10"/>
        <v>Intermediate</v>
      </c>
      <c r="M70" t="s">
        <v>27</v>
      </c>
      <c r="N70" t="s">
        <v>18</v>
      </c>
      <c r="O70" s="1">
        <v>44289</v>
      </c>
      <c r="P70">
        <f t="shared" si="11"/>
        <v>2021</v>
      </c>
    </row>
    <row r="71" spans="1:16" x14ac:dyDescent="0.35">
      <c r="A71">
        <v>1070</v>
      </c>
      <c r="B71" t="s">
        <v>56</v>
      </c>
      <c r="C71" t="s">
        <v>25</v>
      </c>
      <c r="D71" t="str">
        <f t="shared" si="8"/>
        <v>John Umar</v>
      </c>
      <c r="E71" t="s">
        <v>14</v>
      </c>
      <c r="F71">
        <v>37</v>
      </c>
      <c r="G71" t="s">
        <v>44</v>
      </c>
      <c r="H71" t="s">
        <v>45</v>
      </c>
      <c r="I71" s="2">
        <v>352176.75</v>
      </c>
      <c r="J71" s="2" t="str">
        <f t="shared" si="9"/>
        <v>High</v>
      </c>
      <c r="K71">
        <v>16</v>
      </c>
      <c r="L71" t="str">
        <f t="shared" si="10"/>
        <v>Expert</v>
      </c>
      <c r="M71" t="s">
        <v>17</v>
      </c>
      <c r="N71" t="s">
        <v>18</v>
      </c>
      <c r="O71" s="1">
        <v>44175</v>
      </c>
      <c r="P71">
        <f t="shared" si="11"/>
        <v>2020</v>
      </c>
    </row>
    <row r="72" spans="1:16" x14ac:dyDescent="0.35">
      <c r="A72">
        <v>1071</v>
      </c>
      <c r="B72" t="s">
        <v>12</v>
      </c>
      <c r="C72" t="s">
        <v>29</v>
      </c>
      <c r="D72" t="str">
        <f t="shared" si="8"/>
        <v>Ibrahim Johnson</v>
      </c>
      <c r="E72" t="s">
        <v>14</v>
      </c>
      <c r="F72">
        <v>34</v>
      </c>
      <c r="G72" t="s">
        <v>30</v>
      </c>
      <c r="H72" t="s">
        <v>54</v>
      </c>
      <c r="I72" s="2">
        <v>319654.15000000002</v>
      </c>
      <c r="J72" s="2" t="str">
        <f t="shared" si="9"/>
        <v>High</v>
      </c>
      <c r="K72">
        <v>12</v>
      </c>
      <c r="L72" t="str">
        <f t="shared" si="10"/>
        <v>Expert</v>
      </c>
      <c r="M72" t="s">
        <v>27</v>
      </c>
      <c r="N72" t="s">
        <v>39</v>
      </c>
      <c r="O72" s="1">
        <v>44623</v>
      </c>
      <c r="P72">
        <f t="shared" si="11"/>
        <v>2022</v>
      </c>
    </row>
    <row r="73" spans="1:16" x14ac:dyDescent="0.35">
      <c r="A73">
        <v>1072</v>
      </c>
      <c r="B73" t="s">
        <v>40</v>
      </c>
      <c r="C73" t="s">
        <v>52</v>
      </c>
      <c r="D73" t="str">
        <f t="shared" si="8"/>
        <v>David Smith</v>
      </c>
      <c r="E73" t="s">
        <v>14</v>
      </c>
      <c r="F73">
        <v>28</v>
      </c>
      <c r="G73" t="s">
        <v>15</v>
      </c>
      <c r="H73" t="s">
        <v>16</v>
      </c>
      <c r="I73" s="2">
        <v>186470.96</v>
      </c>
      <c r="J73" s="2" t="str">
        <f t="shared" si="9"/>
        <v>Medium</v>
      </c>
      <c r="K73">
        <v>3</v>
      </c>
      <c r="L73" t="str">
        <f t="shared" si="10"/>
        <v>Intermediate</v>
      </c>
      <c r="M73" t="s">
        <v>36</v>
      </c>
      <c r="N73" t="s">
        <v>39</v>
      </c>
      <c r="O73" s="1">
        <v>43289</v>
      </c>
      <c r="P73">
        <f t="shared" si="11"/>
        <v>2018</v>
      </c>
    </row>
    <row r="74" spans="1:16" x14ac:dyDescent="0.35">
      <c r="A74">
        <v>1073</v>
      </c>
      <c r="B74" t="s">
        <v>60</v>
      </c>
      <c r="C74" t="s">
        <v>41</v>
      </c>
      <c r="D74" t="str">
        <f t="shared" si="8"/>
        <v>Musa Ahmed</v>
      </c>
      <c r="E74" t="s">
        <v>14</v>
      </c>
      <c r="F74">
        <v>50</v>
      </c>
      <c r="G74" t="s">
        <v>15</v>
      </c>
      <c r="H74" t="s">
        <v>57</v>
      </c>
      <c r="I74" s="2">
        <v>771886.48</v>
      </c>
      <c r="J74" s="2" t="str">
        <f t="shared" si="9"/>
        <v>High</v>
      </c>
      <c r="K74">
        <v>15</v>
      </c>
      <c r="L74" t="str">
        <f t="shared" si="10"/>
        <v>Expert</v>
      </c>
      <c r="M74" t="s">
        <v>17</v>
      </c>
      <c r="N74" t="s">
        <v>23</v>
      </c>
      <c r="O74" s="1">
        <v>44631</v>
      </c>
      <c r="P74">
        <f t="shared" si="11"/>
        <v>2022</v>
      </c>
    </row>
    <row r="75" spans="1:16" x14ac:dyDescent="0.35">
      <c r="A75">
        <v>1074</v>
      </c>
      <c r="B75" t="s">
        <v>40</v>
      </c>
      <c r="C75" t="s">
        <v>25</v>
      </c>
      <c r="D75" t="str">
        <f t="shared" si="8"/>
        <v>David Umar</v>
      </c>
      <c r="E75" t="s">
        <v>14</v>
      </c>
      <c r="F75">
        <v>48</v>
      </c>
      <c r="G75" t="s">
        <v>15</v>
      </c>
      <c r="H75" t="s">
        <v>57</v>
      </c>
      <c r="I75" s="2">
        <v>327898.19</v>
      </c>
      <c r="J75" s="2" t="str">
        <f t="shared" si="9"/>
        <v>High</v>
      </c>
      <c r="K75">
        <v>11</v>
      </c>
      <c r="L75" t="str">
        <f t="shared" si="10"/>
        <v>Expert</v>
      </c>
      <c r="M75" t="s">
        <v>27</v>
      </c>
      <c r="N75" t="s">
        <v>39</v>
      </c>
      <c r="O75" s="1">
        <v>43420</v>
      </c>
      <c r="P75">
        <f t="shared" si="11"/>
        <v>2018</v>
      </c>
    </row>
    <row r="76" spans="1:16" x14ac:dyDescent="0.35">
      <c r="A76">
        <v>1075</v>
      </c>
      <c r="B76" t="s">
        <v>19</v>
      </c>
      <c r="C76" t="s">
        <v>49</v>
      </c>
      <c r="D76" t="str">
        <f t="shared" si="8"/>
        <v>Joy Aminu</v>
      </c>
      <c r="E76" t="s">
        <v>14</v>
      </c>
      <c r="F76">
        <v>52</v>
      </c>
      <c r="G76" t="s">
        <v>21</v>
      </c>
      <c r="H76" t="s">
        <v>26</v>
      </c>
      <c r="I76" s="2">
        <v>564755.80000000005</v>
      </c>
      <c r="J76" s="2" t="str">
        <f t="shared" si="9"/>
        <v>High</v>
      </c>
      <c r="K76">
        <v>20</v>
      </c>
      <c r="L76" t="str">
        <f t="shared" si="10"/>
        <v>Expert</v>
      </c>
      <c r="M76" t="s">
        <v>36</v>
      </c>
      <c r="N76" t="s">
        <v>32</v>
      </c>
      <c r="O76" s="1">
        <v>44314</v>
      </c>
      <c r="P76">
        <f t="shared" si="11"/>
        <v>2021</v>
      </c>
    </row>
    <row r="77" spans="1:16" x14ac:dyDescent="0.35">
      <c r="A77">
        <v>1076</v>
      </c>
      <c r="B77" t="s">
        <v>55</v>
      </c>
      <c r="C77" t="s">
        <v>33</v>
      </c>
      <c r="D77" t="str">
        <f t="shared" si="8"/>
        <v>Mary Ojo</v>
      </c>
      <c r="E77" t="s">
        <v>38</v>
      </c>
      <c r="F77">
        <v>43</v>
      </c>
      <c r="G77" t="s">
        <v>30</v>
      </c>
      <c r="H77" t="s">
        <v>54</v>
      </c>
      <c r="I77" s="2">
        <v>400503.45</v>
      </c>
      <c r="J77" s="2" t="str">
        <f t="shared" si="9"/>
        <v>High</v>
      </c>
      <c r="K77">
        <v>18</v>
      </c>
      <c r="L77" t="str">
        <f t="shared" si="10"/>
        <v>Expert</v>
      </c>
      <c r="M77" t="s">
        <v>27</v>
      </c>
      <c r="N77" t="s">
        <v>23</v>
      </c>
      <c r="O77" s="1">
        <v>45336</v>
      </c>
      <c r="P77">
        <f t="shared" si="11"/>
        <v>2024</v>
      </c>
    </row>
    <row r="78" spans="1:16" x14ac:dyDescent="0.35">
      <c r="A78">
        <v>1077</v>
      </c>
      <c r="B78" t="s">
        <v>28</v>
      </c>
      <c r="C78" t="s">
        <v>41</v>
      </c>
      <c r="D78" t="str">
        <f t="shared" si="8"/>
        <v>Aisha Ahmed</v>
      </c>
      <c r="E78" t="s">
        <v>14</v>
      </c>
      <c r="F78">
        <v>41</v>
      </c>
      <c r="G78" t="s">
        <v>15</v>
      </c>
      <c r="H78" t="s">
        <v>57</v>
      </c>
      <c r="I78" s="2">
        <v>605014.56000000006</v>
      </c>
      <c r="J78" s="2" t="str">
        <f t="shared" si="9"/>
        <v>High</v>
      </c>
      <c r="K78">
        <v>4</v>
      </c>
      <c r="L78" t="str">
        <f t="shared" si="10"/>
        <v>Intermediate</v>
      </c>
      <c r="M78" t="s">
        <v>17</v>
      </c>
      <c r="N78" t="s">
        <v>32</v>
      </c>
      <c r="O78" s="1">
        <v>45570</v>
      </c>
      <c r="P78">
        <f t="shared" si="11"/>
        <v>2024</v>
      </c>
    </row>
    <row r="79" spans="1:16" x14ac:dyDescent="0.35">
      <c r="A79">
        <v>1078</v>
      </c>
      <c r="B79" t="s">
        <v>37</v>
      </c>
      <c r="C79" t="s">
        <v>41</v>
      </c>
      <c r="D79" t="str">
        <f t="shared" si="8"/>
        <v>Samuel Ahmed</v>
      </c>
      <c r="E79" t="s">
        <v>14</v>
      </c>
      <c r="F79">
        <v>45</v>
      </c>
      <c r="G79" t="s">
        <v>30</v>
      </c>
      <c r="H79" t="s">
        <v>54</v>
      </c>
      <c r="I79" s="2">
        <v>800293.36</v>
      </c>
      <c r="J79" s="2" t="str">
        <f t="shared" si="9"/>
        <v>High</v>
      </c>
      <c r="K79">
        <v>8</v>
      </c>
      <c r="L79" t="str">
        <f t="shared" si="10"/>
        <v>Experienced</v>
      </c>
      <c r="M79" t="s">
        <v>36</v>
      </c>
      <c r="N79" t="s">
        <v>39</v>
      </c>
      <c r="O79" s="1">
        <v>43269</v>
      </c>
      <c r="P79">
        <f t="shared" si="11"/>
        <v>2018</v>
      </c>
    </row>
    <row r="80" spans="1:16" x14ac:dyDescent="0.35">
      <c r="A80">
        <v>1079</v>
      </c>
      <c r="B80" t="s">
        <v>50</v>
      </c>
      <c r="C80" t="s">
        <v>61</v>
      </c>
      <c r="D80" t="str">
        <f t="shared" si="8"/>
        <v>Fatima Okafor</v>
      </c>
      <c r="E80" t="s">
        <v>14</v>
      </c>
      <c r="F80">
        <v>43</v>
      </c>
      <c r="G80" t="s">
        <v>34</v>
      </c>
      <c r="H80" t="s">
        <v>35</v>
      </c>
      <c r="I80" s="2">
        <v>432799.65</v>
      </c>
      <c r="J80" s="2" t="str">
        <f t="shared" si="9"/>
        <v>High</v>
      </c>
      <c r="K80">
        <v>16</v>
      </c>
      <c r="L80" t="str">
        <f t="shared" si="10"/>
        <v>Expert</v>
      </c>
      <c r="M80" t="s">
        <v>17</v>
      </c>
      <c r="N80" t="s">
        <v>32</v>
      </c>
      <c r="O80" s="1">
        <v>44309</v>
      </c>
      <c r="P80">
        <f t="shared" si="11"/>
        <v>2021</v>
      </c>
    </row>
    <row r="81" spans="1:16" x14ac:dyDescent="0.35">
      <c r="A81">
        <v>1080</v>
      </c>
      <c r="B81" t="s">
        <v>42</v>
      </c>
      <c r="C81" t="s">
        <v>49</v>
      </c>
      <c r="D81" t="str">
        <f t="shared" si="8"/>
        <v>Grace Aminu</v>
      </c>
      <c r="E81" t="s">
        <v>38</v>
      </c>
      <c r="F81">
        <v>43</v>
      </c>
      <c r="G81" t="s">
        <v>21</v>
      </c>
      <c r="H81" t="s">
        <v>22</v>
      </c>
      <c r="I81" s="2">
        <v>405800.44</v>
      </c>
      <c r="J81" s="2" t="str">
        <f t="shared" si="9"/>
        <v>High</v>
      </c>
      <c r="K81">
        <v>10</v>
      </c>
      <c r="L81" t="str">
        <f t="shared" si="10"/>
        <v>Experienced</v>
      </c>
      <c r="M81" t="s">
        <v>36</v>
      </c>
      <c r="N81" t="s">
        <v>39</v>
      </c>
      <c r="O81" s="1">
        <v>44023</v>
      </c>
      <c r="P81">
        <f t="shared" si="11"/>
        <v>2020</v>
      </c>
    </row>
    <row r="82" spans="1:16" x14ac:dyDescent="0.35">
      <c r="A82">
        <v>1081</v>
      </c>
      <c r="B82" t="s">
        <v>24</v>
      </c>
      <c r="C82" t="s">
        <v>29</v>
      </c>
      <c r="D82" t="str">
        <f t="shared" si="8"/>
        <v>Zainab Johnson</v>
      </c>
      <c r="E82" t="s">
        <v>14</v>
      </c>
      <c r="F82">
        <v>43</v>
      </c>
      <c r="G82" t="s">
        <v>30</v>
      </c>
      <c r="H82" t="s">
        <v>54</v>
      </c>
      <c r="I82" s="2">
        <v>614234.14</v>
      </c>
      <c r="J82" s="2" t="str">
        <f t="shared" si="9"/>
        <v>High</v>
      </c>
      <c r="K82">
        <v>2</v>
      </c>
      <c r="L82" t="str">
        <f t="shared" si="10"/>
        <v>Beginner</v>
      </c>
      <c r="M82" t="s">
        <v>36</v>
      </c>
      <c r="N82" t="s">
        <v>32</v>
      </c>
      <c r="O82" s="1">
        <v>44475</v>
      </c>
      <c r="P82">
        <f t="shared" si="11"/>
        <v>2021</v>
      </c>
    </row>
    <row r="83" spans="1:16" x14ac:dyDescent="0.35">
      <c r="A83">
        <v>1082</v>
      </c>
      <c r="B83" t="s">
        <v>60</v>
      </c>
      <c r="C83" t="s">
        <v>13</v>
      </c>
      <c r="D83" t="str">
        <f t="shared" si="8"/>
        <v>Musa Ali</v>
      </c>
      <c r="E83" t="s">
        <v>38</v>
      </c>
      <c r="F83">
        <v>35</v>
      </c>
      <c r="G83" t="s">
        <v>15</v>
      </c>
      <c r="H83" t="s">
        <v>57</v>
      </c>
      <c r="I83" s="2">
        <v>829715.73</v>
      </c>
      <c r="J83" s="2" t="str">
        <f t="shared" si="9"/>
        <v>High</v>
      </c>
      <c r="K83">
        <v>6</v>
      </c>
      <c r="L83" t="str">
        <f t="shared" si="10"/>
        <v>Experienced</v>
      </c>
      <c r="M83" t="s">
        <v>27</v>
      </c>
      <c r="N83" t="s">
        <v>48</v>
      </c>
      <c r="O83" s="1">
        <v>45483</v>
      </c>
      <c r="P83">
        <f t="shared" si="11"/>
        <v>2024</v>
      </c>
    </row>
    <row r="84" spans="1:16" x14ac:dyDescent="0.35">
      <c r="A84">
        <v>1083</v>
      </c>
      <c r="B84" t="s">
        <v>60</v>
      </c>
      <c r="C84" t="s">
        <v>13</v>
      </c>
      <c r="D84" t="str">
        <f t="shared" si="8"/>
        <v>Musa Ali</v>
      </c>
      <c r="E84" t="s">
        <v>14</v>
      </c>
      <c r="F84">
        <v>26</v>
      </c>
      <c r="G84" t="s">
        <v>44</v>
      </c>
      <c r="H84" t="s">
        <v>45</v>
      </c>
      <c r="I84" s="2">
        <v>741361.3</v>
      </c>
      <c r="J84" s="2" t="str">
        <f t="shared" si="9"/>
        <v>High</v>
      </c>
      <c r="K84">
        <v>18</v>
      </c>
      <c r="L84" t="str">
        <f t="shared" si="10"/>
        <v>Expert</v>
      </c>
      <c r="M84" t="s">
        <v>27</v>
      </c>
      <c r="N84" t="s">
        <v>23</v>
      </c>
      <c r="O84" s="1">
        <v>44431</v>
      </c>
      <c r="P84">
        <f t="shared" si="11"/>
        <v>2021</v>
      </c>
    </row>
    <row r="85" spans="1:16" x14ac:dyDescent="0.35">
      <c r="A85">
        <v>1084</v>
      </c>
      <c r="B85" t="s">
        <v>50</v>
      </c>
      <c r="C85" t="s">
        <v>13</v>
      </c>
      <c r="D85" t="str">
        <f t="shared" si="8"/>
        <v>Fatima Ali</v>
      </c>
      <c r="E85" t="s">
        <v>38</v>
      </c>
      <c r="F85">
        <v>41</v>
      </c>
      <c r="G85" t="s">
        <v>21</v>
      </c>
      <c r="H85" t="s">
        <v>22</v>
      </c>
      <c r="I85" s="2">
        <v>251839.37</v>
      </c>
      <c r="J85" s="2" t="str">
        <f t="shared" si="9"/>
        <v>High</v>
      </c>
      <c r="K85">
        <v>18</v>
      </c>
      <c r="L85" t="str">
        <f t="shared" si="10"/>
        <v>Expert</v>
      </c>
      <c r="M85" t="s">
        <v>36</v>
      </c>
      <c r="N85" t="s">
        <v>32</v>
      </c>
      <c r="O85" s="1">
        <v>44685</v>
      </c>
      <c r="P85">
        <f t="shared" si="11"/>
        <v>2022</v>
      </c>
    </row>
    <row r="86" spans="1:16" x14ac:dyDescent="0.35">
      <c r="A86">
        <v>1085</v>
      </c>
      <c r="B86" t="s">
        <v>46</v>
      </c>
      <c r="C86" t="s">
        <v>29</v>
      </c>
      <c r="D86" t="str">
        <f t="shared" si="8"/>
        <v>Ada Johnson</v>
      </c>
      <c r="E86" t="s">
        <v>38</v>
      </c>
      <c r="F86">
        <v>38</v>
      </c>
      <c r="G86" t="s">
        <v>21</v>
      </c>
      <c r="H86" t="s">
        <v>22</v>
      </c>
      <c r="I86" s="2">
        <v>630791.35</v>
      </c>
      <c r="J86" s="2" t="str">
        <f t="shared" si="9"/>
        <v>High</v>
      </c>
      <c r="K86">
        <v>5</v>
      </c>
      <c r="L86" t="str">
        <f t="shared" si="10"/>
        <v>Intermediate</v>
      </c>
      <c r="M86" t="s">
        <v>17</v>
      </c>
      <c r="N86" t="s">
        <v>23</v>
      </c>
      <c r="O86" s="1">
        <v>45060</v>
      </c>
      <c r="P86">
        <f t="shared" si="11"/>
        <v>2023</v>
      </c>
    </row>
    <row r="87" spans="1:16" x14ac:dyDescent="0.35">
      <c r="A87">
        <v>1086</v>
      </c>
      <c r="B87" t="s">
        <v>19</v>
      </c>
      <c r="C87" t="s">
        <v>29</v>
      </c>
      <c r="D87" t="str">
        <f t="shared" si="8"/>
        <v>Joy Johnson</v>
      </c>
      <c r="E87" t="s">
        <v>14</v>
      </c>
      <c r="F87">
        <v>23</v>
      </c>
      <c r="G87" t="s">
        <v>44</v>
      </c>
      <c r="H87" t="s">
        <v>45</v>
      </c>
      <c r="I87" s="2">
        <v>301946.92</v>
      </c>
      <c r="J87" s="2" t="str">
        <f t="shared" si="9"/>
        <v>High</v>
      </c>
      <c r="K87">
        <v>9</v>
      </c>
      <c r="L87" t="str">
        <f t="shared" si="10"/>
        <v>Experienced</v>
      </c>
      <c r="M87" t="s">
        <v>27</v>
      </c>
      <c r="N87" t="s">
        <v>32</v>
      </c>
      <c r="O87" s="1">
        <v>44514</v>
      </c>
      <c r="P87">
        <f t="shared" si="11"/>
        <v>2021</v>
      </c>
    </row>
    <row r="88" spans="1:16" x14ac:dyDescent="0.35">
      <c r="A88">
        <v>1087</v>
      </c>
      <c r="B88" t="s">
        <v>28</v>
      </c>
      <c r="C88" t="s">
        <v>29</v>
      </c>
      <c r="D88" t="str">
        <f t="shared" si="8"/>
        <v>Aisha Johnson</v>
      </c>
      <c r="E88" t="s">
        <v>38</v>
      </c>
      <c r="F88">
        <v>31</v>
      </c>
      <c r="G88" t="s">
        <v>34</v>
      </c>
      <c r="H88" t="s">
        <v>35</v>
      </c>
      <c r="I88" s="2">
        <v>591617.18999999994</v>
      </c>
      <c r="J88" s="2" t="str">
        <f t="shared" si="9"/>
        <v>High</v>
      </c>
      <c r="K88">
        <v>7</v>
      </c>
      <c r="L88" t="str">
        <f t="shared" si="10"/>
        <v>Experienced</v>
      </c>
      <c r="M88" t="s">
        <v>17</v>
      </c>
      <c r="N88" t="s">
        <v>32</v>
      </c>
      <c r="O88" s="1">
        <v>45491</v>
      </c>
      <c r="P88">
        <f t="shared" si="11"/>
        <v>2024</v>
      </c>
    </row>
    <row r="89" spans="1:16" x14ac:dyDescent="0.35">
      <c r="A89">
        <v>1088</v>
      </c>
      <c r="B89" t="s">
        <v>40</v>
      </c>
      <c r="C89" t="s">
        <v>20</v>
      </c>
      <c r="D89" t="str">
        <f t="shared" si="8"/>
        <v>David Eze</v>
      </c>
      <c r="E89" t="s">
        <v>38</v>
      </c>
      <c r="F89">
        <v>47</v>
      </c>
      <c r="G89" t="s">
        <v>21</v>
      </c>
      <c r="H89" t="s">
        <v>22</v>
      </c>
      <c r="I89" s="2">
        <v>511544.89</v>
      </c>
      <c r="J89" s="2" t="str">
        <f t="shared" si="9"/>
        <v>High</v>
      </c>
      <c r="K89">
        <v>20</v>
      </c>
      <c r="L89" t="str">
        <f t="shared" si="10"/>
        <v>Expert</v>
      </c>
      <c r="M89" t="s">
        <v>36</v>
      </c>
      <c r="N89" t="s">
        <v>32</v>
      </c>
      <c r="O89" s="1">
        <v>45482</v>
      </c>
      <c r="P89">
        <f t="shared" si="11"/>
        <v>2024</v>
      </c>
    </row>
    <row r="90" spans="1:16" x14ac:dyDescent="0.35">
      <c r="A90">
        <v>1089</v>
      </c>
      <c r="B90" t="s">
        <v>40</v>
      </c>
      <c r="C90" t="s">
        <v>49</v>
      </c>
      <c r="D90" t="str">
        <f t="shared" si="8"/>
        <v>David Aminu</v>
      </c>
      <c r="E90" t="s">
        <v>14</v>
      </c>
      <c r="F90">
        <v>46</v>
      </c>
      <c r="G90" t="s">
        <v>30</v>
      </c>
      <c r="H90" t="s">
        <v>31</v>
      </c>
      <c r="I90" s="2">
        <v>819006.91</v>
      </c>
      <c r="J90" s="2" t="str">
        <f t="shared" si="9"/>
        <v>High</v>
      </c>
      <c r="K90">
        <v>20</v>
      </c>
      <c r="L90" t="str">
        <f t="shared" si="10"/>
        <v>Expert</v>
      </c>
      <c r="M90" t="s">
        <v>27</v>
      </c>
      <c r="N90" t="s">
        <v>18</v>
      </c>
      <c r="O90" s="1">
        <v>43658</v>
      </c>
      <c r="P90">
        <f t="shared" si="11"/>
        <v>2019</v>
      </c>
    </row>
    <row r="91" spans="1:16" x14ac:dyDescent="0.35">
      <c r="A91">
        <v>1090</v>
      </c>
      <c r="B91" t="s">
        <v>46</v>
      </c>
      <c r="C91" t="s">
        <v>20</v>
      </c>
      <c r="D91" t="str">
        <f t="shared" si="8"/>
        <v>Ada Eze</v>
      </c>
      <c r="E91" t="s">
        <v>38</v>
      </c>
      <c r="F91">
        <v>42</v>
      </c>
      <c r="G91" t="s">
        <v>44</v>
      </c>
      <c r="H91" t="s">
        <v>45</v>
      </c>
      <c r="I91" s="2">
        <v>655621.41</v>
      </c>
      <c r="J91" s="2" t="str">
        <f t="shared" si="9"/>
        <v>High</v>
      </c>
      <c r="K91">
        <v>11</v>
      </c>
      <c r="L91" t="str">
        <f t="shared" si="10"/>
        <v>Expert</v>
      </c>
      <c r="M91" t="s">
        <v>17</v>
      </c>
      <c r="N91" t="s">
        <v>23</v>
      </c>
      <c r="O91" s="1">
        <v>44017</v>
      </c>
      <c r="P91">
        <f t="shared" si="11"/>
        <v>2020</v>
      </c>
    </row>
    <row r="92" spans="1:16" x14ac:dyDescent="0.35">
      <c r="A92">
        <v>1091</v>
      </c>
      <c r="B92" t="s">
        <v>42</v>
      </c>
      <c r="C92" t="s">
        <v>43</v>
      </c>
      <c r="D92" t="str">
        <f t="shared" si="8"/>
        <v>Grace Bello</v>
      </c>
      <c r="E92" t="s">
        <v>14</v>
      </c>
      <c r="F92">
        <v>46</v>
      </c>
      <c r="G92" t="s">
        <v>30</v>
      </c>
      <c r="H92" t="s">
        <v>31</v>
      </c>
      <c r="I92" s="2">
        <v>315734.08</v>
      </c>
      <c r="J92" s="2" t="str">
        <f t="shared" si="9"/>
        <v>High</v>
      </c>
      <c r="K92">
        <v>3</v>
      </c>
      <c r="L92" t="str">
        <f t="shared" si="10"/>
        <v>Intermediate</v>
      </c>
      <c r="M92" t="s">
        <v>27</v>
      </c>
      <c r="N92" t="s">
        <v>39</v>
      </c>
      <c r="O92" s="1">
        <v>43955</v>
      </c>
      <c r="P92">
        <f t="shared" si="11"/>
        <v>2020</v>
      </c>
    </row>
    <row r="93" spans="1:16" x14ac:dyDescent="0.35">
      <c r="A93">
        <v>1092</v>
      </c>
      <c r="B93" t="s">
        <v>46</v>
      </c>
      <c r="C93" t="s">
        <v>49</v>
      </c>
      <c r="D93" t="str">
        <f t="shared" si="8"/>
        <v>Ada Aminu</v>
      </c>
      <c r="E93" t="s">
        <v>38</v>
      </c>
      <c r="F93">
        <v>42</v>
      </c>
      <c r="G93" t="s">
        <v>30</v>
      </c>
      <c r="H93" t="s">
        <v>54</v>
      </c>
      <c r="I93" s="2">
        <v>506373.13</v>
      </c>
      <c r="J93" s="2" t="str">
        <f t="shared" si="9"/>
        <v>High</v>
      </c>
      <c r="K93">
        <v>8</v>
      </c>
      <c r="L93" t="str">
        <f t="shared" si="10"/>
        <v>Experienced</v>
      </c>
      <c r="M93" t="s">
        <v>27</v>
      </c>
      <c r="N93" t="s">
        <v>39</v>
      </c>
      <c r="O93" s="1">
        <v>43524</v>
      </c>
      <c r="P93">
        <f t="shared" si="11"/>
        <v>2019</v>
      </c>
    </row>
    <row r="94" spans="1:16" x14ac:dyDescent="0.35">
      <c r="A94">
        <v>1093</v>
      </c>
      <c r="B94" t="s">
        <v>58</v>
      </c>
      <c r="C94" t="s">
        <v>13</v>
      </c>
      <c r="D94" t="str">
        <f t="shared" si="8"/>
        <v>Emeka Ali</v>
      </c>
      <c r="E94" t="s">
        <v>14</v>
      </c>
      <c r="F94">
        <v>58</v>
      </c>
      <c r="G94" t="s">
        <v>30</v>
      </c>
      <c r="H94" t="s">
        <v>31</v>
      </c>
      <c r="I94" s="2">
        <v>444139.31</v>
      </c>
      <c r="J94" s="2" t="str">
        <f t="shared" si="9"/>
        <v>High</v>
      </c>
      <c r="K94">
        <v>16</v>
      </c>
      <c r="L94" t="str">
        <f t="shared" si="10"/>
        <v>Expert</v>
      </c>
      <c r="M94" t="s">
        <v>36</v>
      </c>
      <c r="N94" t="s">
        <v>23</v>
      </c>
      <c r="O94" s="1">
        <v>44026</v>
      </c>
      <c r="P94">
        <f t="shared" si="11"/>
        <v>2020</v>
      </c>
    </row>
    <row r="95" spans="1:16" x14ac:dyDescent="0.35">
      <c r="A95">
        <v>1094</v>
      </c>
      <c r="B95" t="s">
        <v>55</v>
      </c>
      <c r="C95" t="s">
        <v>33</v>
      </c>
      <c r="D95" t="str">
        <f t="shared" si="8"/>
        <v>Mary Ojo</v>
      </c>
      <c r="E95" t="s">
        <v>14</v>
      </c>
      <c r="F95">
        <v>46</v>
      </c>
      <c r="G95" t="s">
        <v>15</v>
      </c>
      <c r="H95" t="s">
        <v>57</v>
      </c>
      <c r="I95" s="2">
        <v>455954.89</v>
      </c>
      <c r="J95" s="2" t="str">
        <f t="shared" si="9"/>
        <v>High</v>
      </c>
      <c r="K95">
        <v>1</v>
      </c>
      <c r="L95" t="str">
        <f t="shared" si="10"/>
        <v>Beginner</v>
      </c>
      <c r="M95" t="s">
        <v>27</v>
      </c>
      <c r="N95" t="s">
        <v>23</v>
      </c>
      <c r="O95" s="1">
        <v>43783</v>
      </c>
      <c r="P95">
        <f t="shared" si="11"/>
        <v>2019</v>
      </c>
    </row>
    <row r="96" spans="1:16" x14ac:dyDescent="0.35">
      <c r="A96">
        <v>1095</v>
      </c>
      <c r="B96" t="s">
        <v>59</v>
      </c>
      <c r="C96" t="s">
        <v>61</v>
      </c>
      <c r="D96" t="str">
        <f t="shared" si="8"/>
        <v>Blessing Okafor</v>
      </c>
      <c r="E96" t="s">
        <v>14</v>
      </c>
      <c r="F96">
        <v>37</v>
      </c>
      <c r="G96" t="s">
        <v>15</v>
      </c>
      <c r="H96" t="s">
        <v>16</v>
      </c>
      <c r="I96" s="2">
        <v>212848.22</v>
      </c>
      <c r="J96" s="2" t="str">
        <f t="shared" si="9"/>
        <v>High</v>
      </c>
      <c r="K96">
        <v>17</v>
      </c>
      <c r="L96" t="str">
        <f t="shared" si="10"/>
        <v>Expert</v>
      </c>
      <c r="M96" t="s">
        <v>17</v>
      </c>
      <c r="N96" t="s">
        <v>23</v>
      </c>
      <c r="O96" s="1">
        <v>44483</v>
      </c>
      <c r="P96">
        <f t="shared" si="11"/>
        <v>2021</v>
      </c>
    </row>
    <row r="97" spans="1:16" x14ac:dyDescent="0.35">
      <c r="A97">
        <v>1096</v>
      </c>
      <c r="B97" t="s">
        <v>40</v>
      </c>
      <c r="C97" t="s">
        <v>25</v>
      </c>
      <c r="D97" t="str">
        <f t="shared" si="8"/>
        <v>David Umar</v>
      </c>
      <c r="E97" t="s">
        <v>38</v>
      </c>
      <c r="F97">
        <v>52</v>
      </c>
      <c r="G97" t="s">
        <v>15</v>
      </c>
      <c r="H97" t="s">
        <v>16</v>
      </c>
      <c r="I97" s="2">
        <v>456674.5</v>
      </c>
      <c r="J97" s="2" t="str">
        <f t="shared" si="9"/>
        <v>High</v>
      </c>
      <c r="K97">
        <v>3</v>
      </c>
      <c r="L97" t="str">
        <f t="shared" si="10"/>
        <v>Intermediate</v>
      </c>
      <c r="M97" t="s">
        <v>17</v>
      </c>
      <c r="N97" t="s">
        <v>18</v>
      </c>
      <c r="O97" s="1">
        <v>43436</v>
      </c>
      <c r="P97">
        <f t="shared" si="11"/>
        <v>2018</v>
      </c>
    </row>
    <row r="98" spans="1:16" x14ac:dyDescent="0.35">
      <c r="A98">
        <v>1097</v>
      </c>
      <c r="B98" t="s">
        <v>42</v>
      </c>
      <c r="C98" t="s">
        <v>13</v>
      </c>
      <c r="D98" t="str">
        <f t="shared" ref="D98:D129" si="12">B98&amp;" "&amp;C98</f>
        <v>Grace Ali</v>
      </c>
      <c r="E98" t="s">
        <v>14</v>
      </c>
      <c r="F98">
        <v>33</v>
      </c>
      <c r="G98" t="s">
        <v>30</v>
      </c>
      <c r="H98" t="s">
        <v>54</v>
      </c>
      <c r="I98" s="2">
        <v>803509.67</v>
      </c>
      <c r="J98" s="2" t="str">
        <f t="shared" ref="J98:J129" si="13">IF(I98&lt;140000, "Low",IF(I98&lt;=200000, "Medium", "High"))</f>
        <v>High</v>
      </c>
      <c r="K98">
        <v>18</v>
      </c>
      <c r="L98" t="str">
        <f t="shared" ref="L98:L101" si="14">IF(K98&lt;=2, "Beginner", IF(K98&lt;=5, "Intermediate", IF(K98&lt;=10, "Experienced", "Expert")))</f>
        <v>Expert</v>
      </c>
      <c r="M98" t="s">
        <v>27</v>
      </c>
      <c r="N98" t="s">
        <v>18</v>
      </c>
      <c r="O98" s="1">
        <v>45371</v>
      </c>
      <c r="P98">
        <f t="shared" ref="P98:P129" si="15">YEAR(O98)</f>
        <v>2024</v>
      </c>
    </row>
    <row r="99" spans="1:16" x14ac:dyDescent="0.35">
      <c r="A99">
        <v>1098</v>
      </c>
      <c r="B99" t="s">
        <v>56</v>
      </c>
      <c r="C99" t="s">
        <v>49</v>
      </c>
      <c r="D99" t="str">
        <f t="shared" si="12"/>
        <v>John Aminu</v>
      </c>
      <c r="E99" t="s">
        <v>38</v>
      </c>
      <c r="F99">
        <v>40</v>
      </c>
      <c r="G99" t="s">
        <v>15</v>
      </c>
      <c r="H99" t="s">
        <v>57</v>
      </c>
      <c r="I99" s="2">
        <v>222979.75</v>
      </c>
      <c r="J99" s="2" t="str">
        <f t="shared" si="13"/>
        <v>High</v>
      </c>
      <c r="K99">
        <v>14</v>
      </c>
      <c r="L99" t="str">
        <f t="shared" si="14"/>
        <v>Expert</v>
      </c>
      <c r="M99" t="s">
        <v>27</v>
      </c>
      <c r="N99" t="s">
        <v>48</v>
      </c>
      <c r="O99" s="1">
        <v>44177</v>
      </c>
      <c r="P99">
        <f t="shared" si="15"/>
        <v>2020</v>
      </c>
    </row>
    <row r="100" spans="1:16" x14ac:dyDescent="0.35">
      <c r="A100">
        <v>1099</v>
      </c>
      <c r="B100" t="s">
        <v>24</v>
      </c>
      <c r="C100" t="s">
        <v>20</v>
      </c>
      <c r="D100" t="str">
        <f t="shared" si="12"/>
        <v>Zainab Eze</v>
      </c>
      <c r="E100" t="s">
        <v>14</v>
      </c>
      <c r="F100">
        <v>52</v>
      </c>
      <c r="G100" t="s">
        <v>44</v>
      </c>
      <c r="H100" t="s">
        <v>45</v>
      </c>
      <c r="I100" s="2">
        <v>441523.93</v>
      </c>
      <c r="J100" s="2" t="str">
        <f t="shared" si="13"/>
        <v>High</v>
      </c>
      <c r="K100">
        <v>15</v>
      </c>
      <c r="L100" t="str">
        <f t="shared" si="14"/>
        <v>Expert</v>
      </c>
      <c r="M100" t="s">
        <v>36</v>
      </c>
      <c r="N100" t="s">
        <v>32</v>
      </c>
      <c r="O100" s="1">
        <v>46054</v>
      </c>
      <c r="P100">
        <f t="shared" si="15"/>
        <v>2026</v>
      </c>
    </row>
    <row r="101" spans="1:16" x14ac:dyDescent="0.35">
      <c r="A101">
        <v>1100</v>
      </c>
      <c r="B101" t="s">
        <v>12</v>
      </c>
      <c r="C101" t="s">
        <v>33</v>
      </c>
      <c r="D101" t="str">
        <f t="shared" si="12"/>
        <v>Ibrahim Ojo</v>
      </c>
      <c r="E101" t="s">
        <v>38</v>
      </c>
      <c r="F101">
        <v>27</v>
      </c>
      <c r="G101" t="s">
        <v>34</v>
      </c>
      <c r="H101" t="s">
        <v>53</v>
      </c>
      <c r="I101" s="2">
        <v>395870.58</v>
      </c>
      <c r="J101" s="2" t="str">
        <f t="shared" si="13"/>
        <v>High</v>
      </c>
      <c r="K101">
        <v>12</v>
      </c>
      <c r="L101" t="str">
        <f t="shared" si="14"/>
        <v>Expert</v>
      </c>
      <c r="M101" t="s">
        <v>17</v>
      </c>
      <c r="N101" t="s">
        <v>48</v>
      </c>
      <c r="O101" s="1">
        <v>44592</v>
      </c>
      <c r="P101">
        <f t="shared" si="15"/>
        <v>2022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Dashboard</vt:lpstr>
      <vt:lpstr>Employees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2026-06-30T12:43:43Z</dcterms:created>
  <dcterms:modified xsi:type="dcterms:W3CDTF">2026-06-30T17:55:44Z</dcterms:modified>
</cp:coreProperties>
</file>